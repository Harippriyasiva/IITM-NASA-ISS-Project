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sharedStrings.xml><?xml version="1.0" encoding="utf-8"?>
<sst xmlns="http://schemas.openxmlformats.org/spreadsheetml/2006/main" count="47" uniqueCount="46">
  <si>
    <t>Assembly</t>
  </si>
  <si>
    <t>Genome Name/ Sample Name</t>
  </si>
  <si>
    <t>J</t>
  </si>
  <si>
    <t>A</t>
  </si>
  <si>
    <t>K</t>
  </si>
  <si>
    <t>L</t>
  </si>
  <si>
    <t>B</t>
  </si>
  <si>
    <t>D</t>
  </si>
  <si>
    <t>Y</t>
  </si>
  <si>
    <t>V</t>
  </si>
  <si>
    <t>T</t>
  </si>
  <si>
    <t>M</t>
  </si>
  <si>
    <t>N</t>
  </si>
  <si>
    <t>Z</t>
  </si>
  <si>
    <t>W</t>
  </si>
  <si>
    <t>U</t>
  </si>
  <si>
    <t>O</t>
  </si>
  <si>
    <t>X</t>
  </si>
  <si>
    <t>C</t>
  </si>
  <si>
    <t>G</t>
  </si>
  <si>
    <t>E</t>
  </si>
  <si>
    <t>F</t>
  </si>
  <si>
    <t>H</t>
  </si>
  <si>
    <t>I</t>
  </si>
  <si>
    <t>P</t>
  </si>
  <si>
    <t>Q</t>
  </si>
  <si>
    <t>R</t>
  </si>
  <si>
    <t>S</t>
  </si>
  <si>
    <t>Strain Name / Genome Name</t>
  </si>
  <si>
    <t>Sphingomonas lutea F9_3S_D5_B_2</t>
  </si>
  <si>
    <t>Methylorubrum extorquens 153480035-1</t>
  </si>
  <si>
    <t>Kocuria rhizophila 111540051-3</t>
  </si>
  <si>
    <t>Staphylococcus hominis 153480033-6</t>
  </si>
  <si>
    <t>Streptococcus sp. 151470009-6</t>
  </si>
  <si>
    <t>Rothia mucilaginosa 110740021-2</t>
  </si>
  <si>
    <t>Ralstonia insidiosa 121560039-2</t>
  </si>
  <si>
    <t>Ralstonia insidiosa 151470066-1</t>
  </si>
  <si>
    <t>Ralstonia insidiosa 142550021-1</t>
  </si>
  <si>
    <t>Ralstonia insidiosa 151470044-1</t>
  </si>
  <si>
    <t>Ralstonia insidiosa 142550027-2</t>
  </si>
  <si>
    <t>Ralstonia insidiosa 130770013-1</t>
  </si>
  <si>
    <t>Ralstonia insidiosa 151470066-2</t>
  </si>
  <si>
    <t>Staphylococcus warneri 121210007-3</t>
  </si>
  <si>
    <t>Staphylococcus warneri 140720001-1</t>
  </si>
  <si>
    <t>Ralstonia insidiosa 123250053-1</t>
  </si>
  <si>
    <t>Kocuria marina F10_7S_D2_EB4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</si>
</sst>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180975</xdr:rowOff>
    </xdr:from>
    <xdr:ext cx="8534400" cy="4524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99.75"/>
    <col customWidth="1" min="3" max="28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8.132450495E9</v>
      </c>
      <c r="B2" s="3" t="str">
        <f t="array" ref="B2">INDEX(Sheet2!B:B, MATCH(A2, Sheet2!A:A, 0))
</f>
        <v>Kocuria rhizophila 111540051-3</v>
      </c>
      <c r="C2" s="4">
        <v>191.0</v>
      </c>
      <c r="D2" s="4">
        <v>1.0</v>
      </c>
      <c r="E2" s="4">
        <v>120.0</v>
      </c>
      <c r="F2" s="4">
        <v>104.0</v>
      </c>
      <c r="G2" s="4">
        <v>0.0</v>
      </c>
      <c r="H2" s="4">
        <v>30.0</v>
      </c>
      <c r="I2" s="4">
        <v>0.0</v>
      </c>
      <c r="J2" s="4">
        <v>41.0</v>
      </c>
      <c r="K2" s="4">
        <v>65.0</v>
      </c>
      <c r="L2" s="4">
        <v>99.0</v>
      </c>
      <c r="M2" s="4">
        <v>5.0</v>
      </c>
      <c r="N2" s="4">
        <v>0.0</v>
      </c>
      <c r="O2" s="4">
        <v>1.0</v>
      </c>
      <c r="P2" s="4">
        <v>25.0</v>
      </c>
      <c r="Q2" s="4">
        <v>87.0</v>
      </c>
      <c r="R2" s="4">
        <v>22.0</v>
      </c>
      <c r="S2" s="4">
        <v>124.0</v>
      </c>
      <c r="T2" s="4">
        <v>138.0</v>
      </c>
      <c r="U2" s="4">
        <v>210.0</v>
      </c>
      <c r="V2" s="4">
        <v>84.0</v>
      </c>
      <c r="W2" s="4">
        <v>128.0</v>
      </c>
      <c r="X2" s="4">
        <v>128.0</v>
      </c>
      <c r="Y2" s="4">
        <v>118.0</v>
      </c>
      <c r="Z2" s="4">
        <v>49.0</v>
      </c>
      <c r="AA2" s="4">
        <v>139.0</v>
      </c>
      <c r="AB2" s="4">
        <v>71.0</v>
      </c>
    </row>
    <row r="3">
      <c r="A3" s="2">
        <v>8.133623617E9</v>
      </c>
      <c r="B3" s="3" t="str">
        <f t="array" ref="B3">INDEX(Sheet2!B:B, MATCH(A3, Sheet2!A:A, 0))
</f>
        <v>Ralstonia insidiosa 151470044-1</v>
      </c>
      <c r="C3" s="4">
        <v>237.0</v>
      </c>
      <c r="D3" s="4">
        <v>2.0</v>
      </c>
      <c r="E3" s="4">
        <v>452.0</v>
      </c>
      <c r="F3" s="4">
        <v>168.0</v>
      </c>
      <c r="G3" s="4">
        <v>0.0</v>
      </c>
      <c r="H3" s="4">
        <v>63.0</v>
      </c>
      <c r="I3" s="4">
        <v>0.0</v>
      </c>
      <c r="J3" s="4">
        <v>95.0</v>
      </c>
      <c r="K3" s="4">
        <v>276.0</v>
      </c>
      <c r="L3" s="4">
        <v>364.0</v>
      </c>
      <c r="M3" s="4">
        <v>99.0</v>
      </c>
      <c r="N3" s="4">
        <v>3.0</v>
      </c>
      <c r="O3" s="4">
        <v>5.0</v>
      </c>
      <c r="P3" s="4">
        <v>114.0</v>
      </c>
      <c r="Q3" s="4">
        <v>195.0</v>
      </c>
      <c r="R3" s="4">
        <v>46.0</v>
      </c>
      <c r="S3" s="4">
        <v>278.0</v>
      </c>
      <c r="T3" s="4">
        <v>249.0</v>
      </c>
      <c r="U3" s="4">
        <v>423.0</v>
      </c>
      <c r="V3" s="4">
        <v>110.0</v>
      </c>
      <c r="W3" s="4">
        <v>224.0</v>
      </c>
      <c r="X3" s="4">
        <v>290.0</v>
      </c>
      <c r="Y3" s="4">
        <v>284.0</v>
      </c>
      <c r="Z3" s="4">
        <v>97.0</v>
      </c>
      <c r="AA3" s="4">
        <v>307.0</v>
      </c>
      <c r="AB3" s="4">
        <v>206.0</v>
      </c>
    </row>
    <row r="4">
      <c r="A4" s="2">
        <v>8.132601599E9</v>
      </c>
      <c r="B4" s="3" t="str">
        <f t="array" ref="B4">INDEX(Sheet2!B:B, MATCH(A4, Sheet2!A:A, 0))
</f>
        <v>Ralstonia insidiosa 130770013-1</v>
      </c>
      <c r="C4" s="4">
        <v>237.0</v>
      </c>
      <c r="D4" s="4">
        <v>2.0</v>
      </c>
      <c r="E4" s="4">
        <v>452.0</v>
      </c>
      <c r="F4" s="4">
        <v>168.0</v>
      </c>
      <c r="G4" s="4">
        <v>0.0</v>
      </c>
      <c r="H4" s="4">
        <v>63.0</v>
      </c>
      <c r="I4" s="4">
        <v>0.0</v>
      </c>
      <c r="J4" s="4">
        <v>95.0</v>
      </c>
      <c r="K4" s="4">
        <v>276.0</v>
      </c>
      <c r="L4" s="4">
        <v>363.0</v>
      </c>
      <c r="M4" s="4">
        <v>99.0</v>
      </c>
      <c r="N4" s="4">
        <v>3.0</v>
      </c>
      <c r="O4" s="4">
        <v>5.0</v>
      </c>
      <c r="P4" s="4">
        <v>114.0</v>
      </c>
      <c r="Q4" s="4">
        <v>196.0</v>
      </c>
      <c r="R4" s="4">
        <v>44.0</v>
      </c>
      <c r="S4" s="4">
        <v>278.0</v>
      </c>
      <c r="T4" s="4">
        <v>249.0</v>
      </c>
      <c r="U4" s="4">
        <v>423.0</v>
      </c>
      <c r="V4" s="4">
        <v>110.0</v>
      </c>
      <c r="W4" s="4">
        <v>224.0</v>
      </c>
      <c r="X4" s="4">
        <v>290.0</v>
      </c>
      <c r="Y4" s="4">
        <v>284.0</v>
      </c>
      <c r="Z4" s="4">
        <v>97.0</v>
      </c>
      <c r="AA4" s="4">
        <v>307.0</v>
      </c>
      <c r="AB4" s="4">
        <v>206.0</v>
      </c>
    </row>
    <row r="5">
      <c r="A5" s="2">
        <v>8.132503709E9</v>
      </c>
      <c r="B5" s="3" t="str">
        <f t="array" ref="B5">INDEX(Sheet2!B:B, MATCH(A5, Sheet2!A:A, 0))
</f>
        <v>Staphylococcus warneri 121210007-3</v>
      </c>
      <c r="C5" s="4">
        <v>205.0</v>
      </c>
      <c r="D5" s="4">
        <v>0.0</v>
      </c>
      <c r="E5" s="4">
        <v>142.0</v>
      </c>
      <c r="F5" s="4">
        <v>103.0</v>
      </c>
      <c r="G5" s="4">
        <v>0.0</v>
      </c>
      <c r="H5" s="4">
        <v>41.0</v>
      </c>
      <c r="I5" s="4">
        <v>0.0</v>
      </c>
      <c r="J5" s="4">
        <v>40.0</v>
      </c>
      <c r="K5" s="4">
        <v>71.0</v>
      </c>
      <c r="L5" s="4">
        <v>118.0</v>
      </c>
      <c r="M5" s="4">
        <v>6.0</v>
      </c>
      <c r="N5" s="4">
        <v>0.0</v>
      </c>
      <c r="O5" s="4">
        <v>0.0</v>
      </c>
      <c r="P5" s="4">
        <v>21.0</v>
      </c>
      <c r="Q5" s="4">
        <v>83.0</v>
      </c>
      <c r="R5" s="4">
        <v>30.0</v>
      </c>
      <c r="S5" s="4">
        <v>115.0</v>
      </c>
      <c r="T5" s="4">
        <v>132.0</v>
      </c>
      <c r="U5" s="4">
        <v>192.0</v>
      </c>
      <c r="V5" s="4">
        <v>78.0</v>
      </c>
      <c r="W5" s="4">
        <v>126.0</v>
      </c>
      <c r="X5" s="4">
        <v>90.0</v>
      </c>
      <c r="Y5" s="4">
        <v>127.0</v>
      </c>
      <c r="Z5" s="4">
        <v>25.0</v>
      </c>
      <c r="AA5" s="4">
        <v>134.0</v>
      </c>
      <c r="AB5" s="4">
        <v>118.0</v>
      </c>
    </row>
    <row r="6">
      <c r="A6" s="2">
        <v>8.133476785E9</v>
      </c>
      <c r="B6" s="3" t="str">
        <f t="array" ref="B6">INDEX(Sheet2!B:B, MATCH(A6, Sheet2!A:A, 0))
</f>
        <v>Sphingomonas lutea F9_3S_D5_B_2</v>
      </c>
      <c r="C6" s="4">
        <v>187.0</v>
      </c>
      <c r="D6" s="4">
        <v>0.0</v>
      </c>
      <c r="E6" s="4">
        <v>98.0</v>
      </c>
      <c r="F6" s="4">
        <v>107.0</v>
      </c>
      <c r="G6" s="4">
        <v>1.0</v>
      </c>
      <c r="H6" s="4">
        <v>48.0</v>
      </c>
      <c r="I6" s="4">
        <v>0.0</v>
      </c>
      <c r="J6" s="4">
        <v>44.0</v>
      </c>
      <c r="K6" s="4">
        <v>101.0</v>
      </c>
      <c r="L6" s="4">
        <v>170.0</v>
      </c>
      <c r="M6" s="4">
        <v>6.0</v>
      </c>
      <c r="N6" s="4">
        <v>0.0</v>
      </c>
      <c r="O6" s="4">
        <v>4.0</v>
      </c>
      <c r="P6" s="4">
        <v>45.0</v>
      </c>
      <c r="Q6" s="4">
        <v>134.0</v>
      </c>
      <c r="R6" s="4">
        <v>12.0</v>
      </c>
      <c r="S6" s="4">
        <v>133.0</v>
      </c>
      <c r="T6" s="4">
        <v>115.0</v>
      </c>
      <c r="U6" s="4">
        <v>137.0</v>
      </c>
      <c r="V6" s="4">
        <v>52.0</v>
      </c>
      <c r="W6" s="4">
        <v>115.0</v>
      </c>
      <c r="X6" s="4">
        <v>116.0</v>
      </c>
      <c r="Y6" s="4">
        <v>80.0</v>
      </c>
      <c r="Z6" s="4">
        <v>41.0</v>
      </c>
      <c r="AA6" s="4">
        <v>130.0</v>
      </c>
      <c r="AB6" s="4">
        <v>107.0</v>
      </c>
    </row>
    <row r="7">
      <c r="A7" s="2">
        <v>8.133341747E9</v>
      </c>
      <c r="B7" s="3" t="str">
        <f t="array" ref="B7">INDEX(Sheet2!B:B, MATCH(A7, Sheet2!A:A, 0))
</f>
        <v>Streptococcus sp. 151470009-6</v>
      </c>
      <c r="C7" s="4">
        <v>191.0</v>
      </c>
      <c r="D7" s="4">
        <v>0.0</v>
      </c>
      <c r="E7" s="4">
        <v>96.0</v>
      </c>
      <c r="F7" s="4">
        <v>91.0</v>
      </c>
      <c r="G7" s="4">
        <v>0.0</v>
      </c>
      <c r="H7" s="4">
        <v>33.0</v>
      </c>
      <c r="I7" s="4">
        <v>0.0</v>
      </c>
      <c r="J7" s="4">
        <v>47.0</v>
      </c>
      <c r="K7" s="4">
        <v>48.0</v>
      </c>
      <c r="L7" s="4">
        <v>93.0</v>
      </c>
      <c r="M7" s="4">
        <v>5.0</v>
      </c>
      <c r="N7" s="4">
        <v>0.0</v>
      </c>
      <c r="O7" s="4">
        <v>0.0</v>
      </c>
      <c r="P7" s="4">
        <v>14.0</v>
      </c>
      <c r="Q7" s="4">
        <v>66.0</v>
      </c>
      <c r="R7" s="4">
        <v>15.0</v>
      </c>
      <c r="S7" s="4">
        <v>46.0</v>
      </c>
      <c r="T7" s="4">
        <v>117.0</v>
      </c>
      <c r="U7" s="4">
        <v>144.0</v>
      </c>
      <c r="V7" s="4">
        <v>81.0</v>
      </c>
      <c r="W7" s="4">
        <v>70.0</v>
      </c>
      <c r="X7" s="4">
        <v>58.0</v>
      </c>
      <c r="Y7" s="4">
        <v>70.0</v>
      </c>
      <c r="Z7" s="4">
        <v>10.0</v>
      </c>
      <c r="AA7" s="4">
        <v>98.0</v>
      </c>
      <c r="AB7" s="4">
        <v>93.0</v>
      </c>
    </row>
    <row r="8">
      <c r="A8" s="2">
        <v>8.133992572E9</v>
      </c>
      <c r="B8" s="3" t="str">
        <f t="array" ref="B8">INDEX(Sheet2!B:B, MATCH(A8, Sheet2!A:A, 0))
</f>
        <v>Staphylococcus hominis 153480033-6</v>
      </c>
      <c r="C8" s="4">
        <v>200.0</v>
      </c>
      <c r="D8" s="4">
        <v>0.0</v>
      </c>
      <c r="E8" s="4">
        <v>117.0</v>
      </c>
      <c r="F8" s="4">
        <v>101.0</v>
      </c>
      <c r="G8" s="4">
        <v>0.0</v>
      </c>
      <c r="H8" s="4">
        <v>36.0</v>
      </c>
      <c r="I8" s="4">
        <v>0.0</v>
      </c>
      <c r="J8" s="4">
        <v>42.0</v>
      </c>
      <c r="K8" s="4">
        <v>68.0</v>
      </c>
      <c r="L8" s="4">
        <v>99.0</v>
      </c>
      <c r="M8" s="4">
        <v>5.0</v>
      </c>
      <c r="N8" s="4">
        <v>0.0</v>
      </c>
      <c r="O8" s="4">
        <v>0.0</v>
      </c>
      <c r="P8" s="4">
        <v>18.0</v>
      </c>
      <c r="Q8" s="4">
        <v>68.0</v>
      </c>
      <c r="R8" s="4">
        <v>15.0</v>
      </c>
      <c r="S8" s="4">
        <v>96.0</v>
      </c>
      <c r="T8" s="4">
        <v>120.0</v>
      </c>
      <c r="U8" s="4">
        <v>177.0</v>
      </c>
      <c r="V8" s="4">
        <v>79.0</v>
      </c>
      <c r="W8" s="4">
        <v>121.0</v>
      </c>
      <c r="X8" s="4">
        <v>83.0</v>
      </c>
      <c r="Y8" s="4">
        <v>119.0</v>
      </c>
      <c r="Z8" s="4">
        <v>21.0</v>
      </c>
      <c r="AA8" s="4">
        <v>115.0</v>
      </c>
      <c r="AB8" s="4">
        <v>102.0</v>
      </c>
    </row>
    <row r="9">
      <c r="A9" s="2">
        <v>8.132824355E9</v>
      </c>
      <c r="B9" s="3" t="str">
        <f t="array" ref="B9">INDEX(Sheet2!B:B, MATCH(A9, Sheet2!A:A, 0))
</f>
        <v>Ralstonia insidiosa 142550021-1</v>
      </c>
      <c r="C9" s="4">
        <v>237.0</v>
      </c>
      <c r="D9" s="4">
        <v>2.0</v>
      </c>
      <c r="E9" s="4">
        <v>452.0</v>
      </c>
      <c r="F9" s="4">
        <v>168.0</v>
      </c>
      <c r="G9" s="4">
        <v>0.0</v>
      </c>
      <c r="H9" s="4">
        <v>63.0</v>
      </c>
      <c r="I9" s="4">
        <v>0.0</v>
      </c>
      <c r="J9" s="4">
        <v>95.0</v>
      </c>
      <c r="K9" s="4">
        <v>276.0</v>
      </c>
      <c r="L9" s="4">
        <v>364.0</v>
      </c>
      <c r="M9" s="4">
        <v>99.0</v>
      </c>
      <c r="N9" s="4">
        <v>3.0</v>
      </c>
      <c r="O9" s="4">
        <v>5.0</v>
      </c>
      <c r="P9" s="4">
        <v>114.0</v>
      </c>
      <c r="Q9" s="4">
        <v>196.0</v>
      </c>
      <c r="R9" s="4">
        <v>46.0</v>
      </c>
      <c r="S9" s="4">
        <v>278.0</v>
      </c>
      <c r="T9" s="4">
        <v>249.0</v>
      </c>
      <c r="U9" s="4">
        <v>423.0</v>
      </c>
      <c r="V9" s="4">
        <v>110.0</v>
      </c>
      <c r="W9" s="4">
        <v>224.0</v>
      </c>
      <c r="X9" s="4">
        <v>290.0</v>
      </c>
      <c r="Y9" s="4">
        <v>284.0</v>
      </c>
      <c r="Z9" s="4">
        <v>97.0</v>
      </c>
      <c r="AA9" s="4">
        <v>307.0</v>
      </c>
      <c r="AB9" s="4">
        <v>206.0</v>
      </c>
    </row>
    <row r="10">
      <c r="A10" s="2">
        <v>8.132433368E9</v>
      </c>
      <c r="B10" s="3" t="str">
        <f t="array" ref="B10">INDEX(Sheet2!B:B, MATCH(A10, Sheet2!A:A, 0))
</f>
        <v>Rothia mucilaginosa 110740021-2</v>
      </c>
      <c r="C10" s="4">
        <v>172.0</v>
      </c>
      <c r="D10" s="4">
        <v>1.0</v>
      </c>
      <c r="E10" s="4">
        <v>67.0</v>
      </c>
      <c r="F10" s="4">
        <v>83.0</v>
      </c>
      <c r="G10" s="4">
        <v>0.0</v>
      </c>
      <c r="H10" s="4">
        <v>40.0</v>
      </c>
      <c r="I10" s="4">
        <v>0.0</v>
      </c>
      <c r="J10" s="4">
        <v>44.0</v>
      </c>
      <c r="K10" s="4">
        <v>43.0</v>
      </c>
      <c r="L10" s="4">
        <v>87.0</v>
      </c>
      <c r="M10" s="4">
        <v>2.0</v>
      </c>
      <c r="N10" s="4">
        <v>0.0</v>
      </c>
      <c r="O10" s="4">
        <v>2.0</v>
      </c>
      <c r="P10" s="4">
        <v>21.0</v>
      </c>
      <c r="Q10" s="4">
        <v>72.0</v>
      </c>
      <c r="R10" s="4">
        <v>1.0</v>
      </c>
      <c r="S10" s="4">
        <v>69.0</v>
      </c>
      <c r="T10" s="4">
        <v>81.0</v>
      </c>
      <c r="U10" s="4">
        <v>131.0</v>
      </c>
      <c r="V10" s="4">
        <v>61.0</v>
      </c>
      <c r="W10" s="4">
        <v>96.0</v>
      </c>
      <c r="X10" s="4">
        <v>50.0</v>
      </c>
      <c r="Y10" s="4">
        <v>70.0</v>
      </c>
      <c r="Z10" s="4">
        <v>16.0</v>
      </c>
      <c r="AA10" s="4">
        <v>76.0</v>
      </c>
      <c r="AB10" s="4">
        <v>48.0</v>
      </c>
    </row>
    <row r="11">
      <c r="A11" s="2">
        <v>8.132818425E9</v>
      </c>
      <c r="B11" s="3" t="str">
        <f t="array" ref="B11">INDEX(Sheet2!B:B, MATCH(A11, Sheet2!A:A, 0))
</f>
        <v>Ralstonia insidiosa 142550027-2</v>
      </c>
      <c r="C11" s="4">
        <v>237.0</v>
      </c>
      <c r="D11" s="4">
        <v>2.0</v>
      </c>
      <c r="E11" s="4">
        <v>452.0</v>
      </c>
      <c r="F11" s="4">
        <v>168.0</v>
      </c>
      <c r="G11" s="4">
        <v>0.0</v>
      </c>
      <c r="H11" s="4">
        <v>63.0</v>
      </c>
      <c r="I11" s="4">
        <v>0.0</v>
      </c>
      <c r="J11" s="4">
        <v>95.0</v>
      </c>
      <c r="K11" s="4">
        <v>276.0</v>
      </c>
      <c r="L11" s="4">
        <v>364.0</v>
      </c>
      <c r="M11" s="4">
        <v>99.0</v>
      </c>
      <c r="N11" s="4">
        <v>3.0</v>
      </c>
      <c r="O11" s="4">
        <v>5.0</v>
      </c>
      <c r="P11" s="4">
        <v>114.0</v>
      </c>
      <c r="Q11" s="4">
        <v>196.0</v>
      </c>
      <c r="R11" s="4">
        <v>46.0</v>
      </c>
      <c r="S11" s="4">
        <v>278.0</v>
      </c>
      <c r="T11" s="4">
        <v>250.0</v>
      </c>
      <c r="U11" s="4">
        <v>423.0</v>
      </c>
      <c r="V11" s="4">
        <v>110.0</v>
      </c>
      <c r="W11" s="4">
        <v>224.0</v>
      </c>
      <c r="X11" s="4">
        <v>290.0</v>
      </c>
      <c r="Y11" s="4">
        <v>284.0</v>
      </c>
      <c r="Z11" s="4">
        <v>97.0</v>
      </c>
      <c r="AA11" s="4">
        <v>307.0</v>
      </c>
      <c r="AB11" s="4">
        <v>206.0</v>
      </c>
    </row>
    <row r="12">
      <c r="A12" s="2">
        <v>8.133643943E9</v>
      </c>
      <c r="B12" s="3" t="str">
        <f t="array" ref="B12">INDEX(Sheet2!B:B, MATCH(A12, Sheet2!A:A, 0))
</f>
        <v>Methylorubrum extorquens 153480035-1</v>
      </c>
      <c r="C12" s="4">
        <v>221.0</v>
      </c>
      <c r="D12" s="4">
        <v>0.0</v>
      </c>
      <c r="E12" s="4">
        <v>206.0</v>
      </c>
      <c r="F12" s="4">
        <v>142.0</v>
      </c>
      <c r="G12" s="4">
        <v>1.0</v>
      </c>
      <c r="H12" s="4">
        <v>62.0</v>
      </c>
      <c r="I12" s="4">
        <v>0.0</v>
      </c>
      <c r="J12" s="4">
        <v>92.0</v>
      </c>
      <c r="K12" s="4">
        <v>322.0</v>
      </c>
      <c r="L12" s="4">
        <v>288.0</v>
      </c>
      <c r="M12" s="4">
        <v>89.0</v>
      </c>
      <c r="N12" s="4">
        <v>0.0</v>
      </c>
      <c r="O12" s="4">
        <v>2.0</v>
      </c>
      <c r="P12" s="4">
        <v>50.0</v>
      </c>
      <c r="Q12" s="4">
        <v>187.0</v>
      </c>
      <c r="R12" s="4">
        <v>66.0</v>
      </c>
      <c r="S12" s="4">
        <v>259.0</v>
      </c>
      <c r="T12" s="4">
        <v>178.0</v>
      </c>
      <c r="U12" s="4">
        <v>259.0</v>
      </c>
      <c r="V12" s="4">
        <v>95.0</v>
      </c>
      <c r="W12" s="4">
        <v>231.0</v>
      </c>
      <c r="X12" s="4">
        <v>168.0</v>
      </c>
      <c r="Y12" s="4">
        <v>257.0</v>
      </c>
      <c r="Z12" s="4">
        <v>74.0</v>
      </c>
      <c r="AA12" s="4">
        <v>278.0</v>
      </c>
      <c r="AB12" s="4">
        <v>250.0</v>
      </c>
    </row>
    <row r="13">
      <c r="A13" s="2">
        <v>8.13363548E9</v>
      </c>
      <c r="B13" s="3" t="str">
        <f t="array" ref="B13">INDEX(Sheet2!B:B, MATCH(A13, Sheet2!A:A, 0))
</f>
        <v>Ralstonia insidiosa 151470066-2</v>
      </c>
      <c r="C13" s="4">
        <v>237.0</v>
      </c>
      <c r="D13" s="4">
        <v>2.0</v>
      </c>
      <c r="E13" s="4">
        <v>452.0</v>
      </c>
      <c r="F13" s="4">
        <v>168.0</v>
      </c>
      <c r="G13" s="4">
        <v>0.0</v>
      </c>
      <c r="H13" s="4">
        <v>63.0</v>
      </c>
      <c r="I13" s="4">
        <v>0.0</v>
      </c>
      <c r="J13" s="4">
        <v>95.0</v>
      </c>
      <c r="K13" s="4">
        <v>276.0</v>
      </c>
      <c r="L13" s="4">
        <v>364.0</v>
      </c>
      <c r="M13" s="4">
        <v>99.0</v>
      </c>
      <c r="N13" s="4">
        <v>3.0</v>
      </c>
      <c r="O13" s="4">
        <v>5.0</v>
      </c>
      <c r="P13" s="4">
        <v>114.0</v>
      </c>
      <c r="Q13" s="4">
        <v>196.0</v>
      </c>
      <c r="R13" s="4">
        <v>46.0</v>
      </c>
      <c r="S13" s="4">
        <v>278.0</v>
      </c>
      <c r="T13" s="4">
        <v>250.0</v>
      </c>
      <c r="U13" s="4">
        <v>423.0</v>
      </c>
      <c r="V13" s="4">
        <v>110.0</v>
      </c>
      <c r="W13" s="4">
        <v>224.0</v>
      </c>
      <c r="X13" s="4">
        <v>290.0</v>
      </c>
      <c r="Y13" s="4">
        <v>284.0</v>
      </c>
      <c r="Z13" s="4">
        <v>97.0</v>
      </c>
      <c r="AA13" s="4">
        <v>307.0</v>
      </c>
      <c r="AB13" s="4">
        <v>206.0</v>
      </c>
    </row>
    <row r="14">
      <c r="A14" s="2">
        <v>8.133629549E9</v>
      </c>
      <c r="B14" s="3" t="str">
        <f t="array" ref="B14">INDEX(Sheet2!B:B, MATCH(A14, Sheet2!A:A, 0))
</f>
        <v>Ralstonia insidiosa 151470066-1</v>
      </c>
      <c r="C14" s="4">
        <v>237.0</v>
      </c>
      <c r="D14" s="4">
        <v>2.0</v>
      </c>
      <c r="E14" s="4">
        <v>452.0</v>
      </c>
      <c r="F14" s="4">
        <v>168.0</v>
      </c>
      <c r="G14" s="4">
        <v>0.0</v>
      </c>
      <c r="H14" s="4">
        <v>63.0</v>
      </c>
      <c r="I14" s="4">
        <v>0.0</v>
      </c>
      <c r="J14" s="4">
        <v>95.0</v>
      </c>
      <c r="K14" s="4">
        <v>276.0</v>
      </c>
      <c r="L14" s="4">
        <v>364.0</v>
      </c>
      <c r="M14" s="4">
        <v>99.0</v>
      </c>
      <c r="N14" s="4">
        <v>3.0</v>
      </c>
      <c r="O14" s="4">
        <v>5.0</v>
      </c>
      <c r="P14" s="4">
        <v>114.0</v>
      </c>
      <c r="Q14" s="4">
        <v>196.0</v>
      </c>
      <c r="R14" s="4">
        <v>46.0</v>
      </c>
      <c r="S14" s="4">
        <v>278.0</v>
      </c>
      <c r="T14" s="4">
        <v>249.0</v>
      </c>
      <c r="U14" s="4">
        <v>423.0</v>
      </c>
      <c r="V14" s="4">
        <v>110.0</v>
      </c>
      <c r="W14" s="4">
        <v>224.0</v>
      </c>
      <c r="X14" s="4">
        <v>290.0</v>
      </c>
      <c r="Y14" s="4">
        <v>284.0</v>
      </c>
      <c r="Z14" s="4">
        <v>97.0</v>
      </c>
      <c r="AA14" s="4">
        <v>307.0</v>
      </c>
      <c r="AB14" s="4">
        <v>206.0</v>
      </c>
    </row>
    <row r="15">
      <c r="A15" s="2">
        <v>8.132595571E9</v>
      </c>
      <c r="B15" s="3" t="str">
        <f t="array" ref="B15">INDEX(Sheet2!B:B, MATCH(A15, Sheet2!A:A, 0))
</f>
        <v>Ralstonia insidiosa 123250053-1</v>
      </c>
      <c r="C15" s="4">
        <v>238.0</v>
      </c>
      <c r="D15" s="4">
        <v>2.0</v>
      </c>
      <c r="E15" s="4">
        <v>454.0</v>
      </c>
      <c r="F15" s="4">
        <v>175.0</v>
      </c>
      <c r="G15" s="4">
        <v>0.0</v>
      </c>
      <c r="H15" s="4">
        <v>66.0</v>
      </c>
      <c r="I15" s="4">
        <v>0.0</v>
      </c>
      <c r="J15" s="4">
        <v>98.0</v>
      </c>
      <c r="K15" s="4">
        <v>279.0</v>
      </c>
      <c r="L15" s="4">
        <v>367.0</v>
      </c>
      <c r="M15" s="4">
        <v>99.0</v>
      </c>
      <c r="N15" s="4">
        <v>3.0</v>
      </c>
      <c r="O15" s="4">
        <v>5.0</v>
      </c>
      <c r="P15" s="4">
        <v>116.0</v>
      </c>
      <c r="Q15" s="4">
        <v>200.0</v>
      </c>
      <c r="R15" s="4">
        <v>47.0</v>
      </c>
      <c r="S15" s="4">
        <v>278.0</v>
      </c>
      <c r="T15" s="4">
        <v>249.0</v>
      </c>
      <c r="U15" s="4">
        <v>423.0</v>
      </c>
      <c r="V15" s="4">
        <v>110.0</v>
      </c>
      <c r="W15" s="4">
        <v>225.0</v>
      </c>
      <c r="X15" s="4">
        <v>291.0</v>
      </c>
      <c r="Y15" s="4">
        <v>286.0</v>
      </c>
      <c r="Z15" s="4">
        <v>97.0</v>
      </c>
      <c r="AA15" s="4">
        <v>310.0</v>
      </c>
      <c r="AB15" s="4">
        <v>210.0</v>
      </c>
    </row>
    <row r="16">
      <c r="A16" s="2">
        <v>8.135715517E9</v>
      </c>
      <c r="B16" s="3" t="str">
        <f t="array" ref="B16">INDEX(Sheet2!B:B, MATCH(A16, Sheet2!A:A, 0))
</f>
        <v>Kocuria marina F10_7S_D2_EB4</v>
      </c>
      <c r="C16" s="4">
        <v>196.0</v>
      </c>
      <c r="D16" s="4">
        <v>1.0</v>
      </c>
      <c r="E16" s="4">
        <v>142.0</v>
      </c>
      <c r="F16" s="4">
        <v>114.0</v>
      </c>
      <c r="G16" s="4">
        <v>0.0</v>
      </c>
      <c r="H16" s="4">
        <v>42.0</v>
      </c>
      <c r="I16" s="4">
        <v>0.0</v>
      </c>
      <c r="J16" s="4">
        <v>51.0</v>
      </c>
      <c r="K16" s="4">
        <v>70.0</v>
      </c>
      <c r="L16" s="4">
        <v>114.0</v>
      </c>
      <c r="M16" s="4">
        <v>9.0</v>
      </c>
      <c r="N16" s="4">
        <v>0.0</v>
      </c>
      <c r="O16" s="4">
        <v>1.0</v>
      </c>
      <c r="P16" s="4">
        <v>23.0</v>
      </c>
      <c r="Q16" s="4">
        <v>85.0</v>
      </c>
      <c r="R16" s="4">
        <v>26.0</v>
      </c>
      <c r="S16" s="4">
        <v>147.0</v>
      </c>
      <c r="T16" s="4">
        <v>172.0</v>
      </c>
      <c r="U16" s="4">
        <v>205.0</v>
      </c>
      <c r="V16" s="4">
        <v>88.0</v>
      </c>
      <c r="W16" s="4">
        <v>144.0</v>
      </c>
      <c r="X16" s="4">
        <v>148.0</v>
      </c>
      <c r="Y16" s="4">
        <v>142.0</v>
      </c>
      <c r="Z16" s="4">
        <v>56.0</v>
      </c>
      <c r="AA16" s="4">
        <v>140.0</v>
      </c>
      <c r="AB16" s="4">
        <v>82.0</v>
      </c>
    </row>
    <row r="17">
      <c r="A17" s="2">
        <v>8.132551458E9</v>
      </c>
      <c r="B17" s="3" t="str">
        <f t="array" ref="B17">INDEX(Sheet2!B:B, MATCH(A17, Sheet2!A:A, 0))
</f>
        <v>Ralstonia insidiosa 121560039-2</v>
      </c>
      <c r="C17" s="4">
        <v>237.0</v>
      </c>
      <c r="D17" s="4">
        <v>2.0</v>
      </c>
      <c r="E17" s="4">
        <v>453.0</v>
      </c>
      <c r="F17" s="4">
        <v>174.0</v>
      </c>
      <c r="G17" s="4">
        <v>0.0</v>
      </c>
      <c r="H17" s="4">
        <v>74.0</v>
      </c>
      <c r="I17" s="4">
        <v>0.0</v>
      </c>
      <c r="J17" s="4">
        <v>100.0</v>
      </c>
      <c r="K17" s="4">
        <v>287.0</v>
      </c>
      <c r="L17" s="4">
        <v>374.0</v>
      </c>
      <c r="M17" s="4">
        <v>101.0</v>
      </c>
      <c r="N17" s="4">
        <v>3.0</v>
      </c>
      <c r="O17" s="4">
        <v>5.0</v>
      </c>
      <c r="P17" s="4">
        <v>115.0</v>
      </c>
      <c r="Q17" s="4">
        <v>200.0</v>
      </c>
      <c r="R17" s="4">
        <v>61.0</v>
      </c>
      <c r="S17" s="4">
        <v>285.0</v>
      </c>
      <c r="T17" s="4">
        <v>256.0</v>
      </c>
      <c r="U17" s="4">
        <v>430.0</v>
      </c>
      <c r="V17" s="4">
        <v>111.0</v>
      </c>
      <c r="W17" s="4">
        <v>230.0</v>
      </c>
      <c r="X17" s="4">
        <v>304.0</v>
      </c>
      <c r="Y17" s="4">
        <v>311.0</v>
      </c>
      <c r="Z17" s="4">
        <v>99.0</v>
      </c>
      <c r="AA17" s="4">
        <v>311.0</v>
      </c>
      <c r="AB17" s="4">
        <v>223.0</v>
      </c>
    </row>
    <row r="18">
      <c r="A18" s="2">
        <v>8.134898396E9</v>
      </c>
      <c r="B18" s="3" t="str">
        <f t="array" ref="B18">INDEX(Sheet2!B:B, MATCH(A18, Sheet2!A:A, 0))
</f>
        <v>Staphylococcus warneri 140720001-1</v>
      </c>
      <c r="C18" s="4">
        <v>209.0</v>
      </c>
      <c r="D18" s="4">
        <v>0.0</v>
      </c>
      <c r="E18" s="4">
        <v>135.0</v>
      </c>
      <c r="F18" s="4">
        <v>105.0</v>
      </c>
      <c r="G18" s="4">
        <v>0.0</v>
      </c>
      <c r="H18" s="4">
        <v>46.0</v>
      </c>
      <c r="I18" s="4">
        <v>0.0</v>
      </c>
      <c r="J18" s="4">
        <v>46.0</v>
      </c>
      <c r="K18" s="4">
        <v>72.0</v>
      </c>
      <c r="L18" s="4">
        <v>117.0</v>
      </c>
      <c r="M18" s="4">
        <v>7.0</v>
      </c>
      <c r="N18" s="4">
        <v>0.0</v>
      </c>
      <c r="O18" s="4">
        <v>0.0</v>
      </c>
      <c r="P18" s="4">
        <v>21.0</v>
      </c>
      <c r="Q18" s="4">
        <v>81.0</v>
      </c>
      <c r="R18" s="4">
        <v>26.0</v>
      </c>
      <c r="S18" s="4">
        <v>110.0</v>
      </c>
      <c r="T18" s="4">
        <v>126.0</v>
      </c>
      <c r="U18" s="4">
        <v>196.0</v>
      </c>
      <c r="V18" s="4">
        <v>79.0</v>
      </c>
      <c r="W18" s="4">
        <v>126.0</v>
      </c>
      <c r="X18" s="4">
        <v>90.0</v>
      </c>
      <c r="Y18" s="4">
        <v>127.0</v>
      </c>
      <c r="Z18" s="4">
        <v>23.0</v>
      </c>
      <c r="AA18" s="4">
        <v>136.0</v>
      </c>
      <c r="AB18" s="4">
        <v>118.0</v>
      </c>
    </row>
    <row r="19">
      <c r="A19" s="5"/>
      <c r="C19" s="4"/>
    </row>
  </sheetData>
  <mergeCells count="2">
    <mergeCell ref="A19:B1018"/>
    <mergeCell ref="C19:AB10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28</v>
      </c>
    </row>
    <row r="2">
      <c r="A2" s="7">
        <v>8.133476785E9</v>
      </c>
      <c r="B2" s="8" t="s">
        <v>29</v>
      </c>
    </row>
    <row r="3">
      <c r="A3" s="7">
        <v>8.133643943E9</v>
      </c>
      <c r="B3" s="8" t="s">
        <v>30</v>
      </c>
    </row>
    <row r="4">
      <c r="A4" s="7">
        <v>8.132450495E9</v>
      </c>
      <c r="B4" s="8" t="s">
        <v>31</v>
      </c>
    </row>
    <row r="5">
      <c r="A5" s="7">
        <v>8.133992572E9</v>
      </c>
      <c r="B5" s="8" t="s">
        <v>32</v>
      </c>
    </row>
    <row r="6">
      <c r="A6" s="7">
        <v>8.133341747E9</v>
      </c>
      <c r="B6" s="8" t="s">
        <v>33</v>
      </c>
    </row>
    <row r="7">
      <c r="A7" s="7">
        <v>8.132433368E9</v>
      </c>
      <c r="B7" s="8" t="s">
        <v>34</v>
      </c>
    </row>
    <row r="8">
      <c r="A8" s="7">
        <v>8.132551458E9</v>
      </c>
      <c r="B8" s="8" t="s">
        <v>35</v>
      </c>
    </row>
    <row r="9">
      <c r="A9" s="7">
        <v>8.133629549E9</v>
      </c>
      <c r="B9" s="8" t="s">
        <v>36</v>
      </c>
    </row>
    <row r="10">
      <c r="A10" s="7">
        <v>8.132824355E9</v>
      </c>
      <c r="B10" s="8" t="s">
        <v>37</v>
      </c>
    </row>
    <row r="11">
      <c r="A11" s="7">
        <v>8.133623617E9</v>
      </c>
      <c r="B11" s="8" t="s">
        <v>38</v>
      </c>
    </row>
    <row r="12">
      <c r="A12" s="7">
        <v>8.132818425E9</v>
      </c>
      <c r="B12" s="8" t="s">
        <v>39</v>
      </c>
    </row>
    <row r="13">
      <c r="A13" s="7">
        <v>8.132601599E9</v>
      </c>
      <c r="B13" s="8" t="s">
        <v>40</v>
      </c>
    </row>
    <row r="14">
      <c r="A14" s="7">
        <v>8.13363548E9</v>
      </c>
      <c r="B14" s="8" t="s">
        <v>41</v>
      </c>
    </row>
    <row r="15">
      <c r="A15" s="7">
        <v>8.132503709E9</v>
      </c>
      <c r="B15" s="8" t="s">
        <v>42</v>
      </c>
    </row>
    <row r="16">
      <c r="A16" s="7">
        <v>8.134898396E9</v>
      </c>
      <c r="B16" s="8" t="s">
        <v>43</v>
      </c>
    </row>
    <row r="17">
      <c r="A17" s="7">
        <v>8.132595571E9</v>
      </c>
      <c r="B17" s="8" t="s">
        <v>44</v>
      </c>
    </row>
    <row r="18">
      <c r="A18" s="7">
        <v>8.135715517E9</v>
      </c>
      <c r="B18" s="8" t="s">
        <v>45</v>
      </c>
    </row>
  </sheetData>
  <drawing r:id="rId1"/>
</worksheet>
</file>