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.csv" sheetId="1" r:id="rId5"/>
    <sheet state="visible" name="Antismash_html" sheetId="2" r:id="rId6"/>
    <sheet state="visible" name="&lt;50%" sheetId="3" r:id="rId7"/>
    <sheet state="visible" name="50% - 70%" sheetId="4" r:id="rId8"/>
    <sheet state="visible" name="70% -90%" sheetId="5" r:id="rId9"/>
    <sheet state="visible" name="&gt;90%" sheetId="6" r:id="rId10"/>
    <sheet state="hidden" name="Sheet2" sheetId="7" r:id="rId11"/>
  </sheets>
  <definedNames/>
  <calcPr/>
</workbook>
</file>

<file path=xl/sharedStrings.xml><?xml version="1.0" encoding="utf-8"?>
<sst xmlns="http://schemas.openxmlformats.org/spreadsheetml/2006/main" count="1169" uniqueCount="283">
  <si>
    <t>Genome</t>
  </si>
  <si>
    <t>Genome Name/ Sample Name</t>
  </si>
  <si>
    <t>Region_ID</t>
  </si>
  <si>
    <t>Scaffold</t>
  </si>
  <si>
    <t>Cluster_Type</t>
  </si>
  <si>
    <t>Predicted_Product</t>
  </si>
  <si>
    <t>Region_Start</t>
  </si>
  <si>
    <t>Region_End</t>
  </si>
  <si>
    <t>Region_Length</t>
  </si>
  <si>
    <t>ORF_Count</t>
  </si>
  <si>
    <t>Core_Gene_Count</t>
  </si>
  <si>
    <t>Tailoring_Gene_Count</t>
  </si>
  <si>
    <t>Transport_Gene_Count</t>
  </si>
  <si>
    <t>Regulatory_Gene_Count</t>
  </si>
  <si>
    <t>Strand_Orientation</t>
  </si>
  <si>
    <t>GC_Content</t>
  </si>
  <si>
    <t>ORF_Density</t>
  </si>
  <si>
    <t>MiBIG_Hits</t>
  </si>
  <si>
    <t>Ga0680089_01.region001</t>
  </si>
  <si>
    <t>Ga0680089_01</t>
  </si>
  <si>
    <t>Unknown</t>
  </si>
  <si>
    <t>NRPS</t>
  </si>
  <si>
    <t>+</t>
  </si>
  <si>
    <t>Ga0680103_01.region003</t>
  </si>
  <si>
    <t>Ga0680103_01</t>
  </si>
  <si>
    <t>NAPAA</t>
  </si>
  <si>
    <t>Ga0680103_01.region001</t>
  </si>
  <si>
    <t>T3PKS</t>
  </si>
  <si>
    <t>Ga0680103_01.region002</t>
  </si>
  <si>
    <t>NI-siderophore</t>
  </si>
  <si>
    <t>Ga0680103_03.region001</t>
  </si>
  <si>
    <t>Ga0680103_03</t>
  </si>
  <si>
    <t>betalactone</t>
  </si>
  <si>
    <t>-</t>
  </si>
  <si>
    <t>Ga0680103_09.region001</t>
  </si>
  <si>
    <t>Ga0680103_09</t>
  </si>
  <si>
    <t>terpene</t>
  </si>
  <si>
    <t>Ga0680131_12.region001</t>
  </si>
  <si>
    <t>Ga0680131_12</t>
  </si>
  <si>
    <t>Ga0680131_03.region001</t>
  </si>
  <si>
    <t>Ga0680131_03</t>
  </si>
  <si>
    <t>Ga0680131_05.region001</t>
  </si>
  <si>
    <t>Ga0680131_05</t>
  </si>
  <si>
    <t>cyclic-lactone-autoinducer</t>
  </si>
  <si>
    <t>Ga0680158_01.region001</t>
  </si>
  <si>
    <t>Ga0680158_01</t>
  </si>
  <si>
    <t>Ga0680158_09.region001</t>
  </si>
  <si>
    <t>Ga0680158_09</t>
  </si>
  <si>
    <t>butyrolactone</t>
  </si>
  <si>
    <t>Ga0680158_04.region001</t>
  </si>
  <si>
    <t>Ga0680158_04</t>
  </si>
  <si>
    <t>T1PKS</t>
  </si>
  <si>
    <t>Ga0680158_01.region002</t>
  </si>
  <si>
    <t>Ga0680158_03.region001</t>
  </si>
  <si>
    <t>Ga0680158_03</t>
  </si>
  <si>
    <t>arylpolyene</t>
  </si>
  <si>
    <t>Ga0680158_20.region001</t>
  </si>
  <si>
    <t>Ga0680158_20</t>
  </si>
  <si>
    <t>hydrogen-cyanide</t>
  </si>
  <si>
    <t>Ga0680158_13.region001</t>
  </si>
  <si>
    <t>Ga0680158_13</t>
  </si>
  <si>
    <t>Ga0680158_07.region001</t>
  </si>
  <si>
    <t>Ga0680158_07</t>
  </si>
  <si>
    <t>redox-cofactor</t>
  </si>
  <si>
    <t>Ga0680181_07.region001</t>
  </si>
  <si>
    <t>Ga0680181_07</t>
  </si>
  <si>
    <t>Ga0680181_02.region002</t>
  </si>
  <si>
    <t>Ga0680181_02</t>
  </si>
  <si>
    <t>Ga0680181_14.region001</t>
  </si>
  <si>
    <t>Ga0680181_14</t>
  </si>
  <si>
    <t>Ga0680181_08.region001</t>
  </si>
  <si>
    <t>Ga0680181_08</t>
  </si>
  <si>
    <t>Ga0680181_02.region001</t>
  </si>
  <si>
    <t>Ga0680181_03.region001</t>
  </si>
  <si>
    <t>Ga0680181_03</t>
  </si>
  <si>
    <t>Ga0680181_20.region001</t>
  </si>
  <si>
    <t>Ga0680181_20</t>
  </si>
  <si>
    <t>Ga0680181_04.region001</t>
  </si>
  <si>
    <t>Ga0680181_04</t>
  </si>
  <si>
    <t>Ga0680183_03.region001</t>
  </si>
  <si>
    <t>Ga0680183_03</t>
  </si>
  <si>
    <t>Ga0680183_13.region001</t>
  </si>
  <si>
    <t>Ga0680183_13</t>
  </si>
  <si>
    <t>Ga0680183_19.region001</t>
  </si>
  <si>
    <t>Ga0680183_19</t>
  </si>
  <si>
    <t>Ga0680183_01.region002</t>
  </si>
  <si>
    <t>Ga0680183_01</t>
  </si>
  <si>
    <t>Ga0680183_04.region001</t>
  </si>
  <si>
    <t>Ga0680183_04</t>
  </si>
  <si>
    <t>Ga0680183_07.region001</t>
  </si>
  <si>
    <t>Ga0680183_07</t>
  </si>
  <si>
    <t>Ga0680183_08.region001</t>
  </si>
  <si>
    <t>Ga0680183_08</t>
  </si>
  <si>
    <t>Ga0680183_01.region001</t>
  </si>
  <si>
    <t>Ga0680261_13.region001</t>
  </si>
  <si>
    <t>Ga0680261_13</t>
  </si>
  <si>
    <t>Ga0680261_01.region002</t>
  </si>
  <si>
    <t>Ga0680261_01</t>
  </si>
  <si>
    <t>Ga0680261_01.region001</t>
  </si>
  <si>
    <t>Ga0680261_08.region001</t>
  </si>
  <si>
    <t>Ga0680261_08</t>
  </si>
  <si>
    <t>Ga0680261_19.region001</t>
  </si>
  <si>
    <t>Ga0680261_19</t>
  </si>
  <si>
    <t>Ga0680261_03.region001</t>
  </si>
  <si>
    <t>Ga0680261_03</t>
  </si>
  <si>
    <t>Ga0680261_07.region001</t>
  </si>
  <si>
    <t>Ga0680261_07</t>
  </si>
  <si>
    <t>Ga0680261_04.region001</t>
  </si>
  <si>
    <t>Ga0680261_04</t>
  </si>
  <si>
    <t>Ga0680262_08.region001</t>
  </si>
  <si>
    <t>Ga0680262_08</t>
  </si>
  <si>
    <t>Ga0680262_02.region002</t>
  </si>
  <si>
    <t>Ga0680262_02</t>
  </si>
  <si>
    <t>Ga0680262_02.region001</t>
  </si>
  <si>
    <t>Ga0680262_14.region001</t>
  </si>
  <si>
    <t>Ga0680262_14</t>
  </si>
  <si>
    <t>Ga0680262_20.region001</t>
  </si>
  <si>
    <t>Ga0680262_20</t>
  </si>
  <si>
    <t>Ga0680262_03.region001</t>
  </si>
  <si>
    <t>Ga0680262_03</t>
  </si>
  <si>
    <t>Ga0680262_07.region001</t>
  </si>
  <si>
    <t>Ga0680262_07</t>
  </si>
  <si>
    <t>Ga0680262_04.region001</t>
  </si>
  <si>
    <t>Ga0680262_04</t>
  </si>
  <si>
    <t>Ga0680995_04.region001</t>
  </si>
  <si>
    <t>Ga0680995_04</t>
  </si>
  <si>
    <t>Ga0680769_01.region001</t>
  </si>
  <si>
    <t>Ga0680769_01</t>
  </si>
  <si>
    <t>Ga0680996_14.region001</t>
  </si>
  <si>
    <t>Ga0680996_14</t>
  </si>
  <si>
    <t>Ga0680996_02.region002</t>
  </si>
  <si>
    <t>Ga0680996_02</t>
  </si>
  <si>
    <t>Ga0680996_02.region001</t>
  </si>
  <si>
    <t>Ga0680996_20.region001</t>
  </si>
  <si>
    <t>Ga0680996_20</t>
  </si>
  <si>
    <t>Ga0680996_04.region001</t>
  </si>
  <si>
    <t>Ga0680996_04</t>
  </si>
  <si>
    <t>Ga0680996_07.region001</t>
  </si>
  <si>
    <t>Ga0680996_07</t>
  </si>
  <si>
    <t>Ga0680996_08.region001</t>
  </si>
  <si>
    <t>Ga0680996_08</t>
  </si>
  <si>
    <t>Ga0680996_03.region001</t>
  </si>
  <si>
    <t>Ga0680996_03</t>
  </si>
  <si>
    <t>Ga0680997_20.region001</t>
  </si>
  <si>
    <t>Ga0680997_20</t>
  </si>
  <si>
    <t>Ga0680997_02.region001</t>
  </si>
  <si>
    <t>Ga0680997_02</t>
  </si>
  <si>
    <t>Ga0680997_02.region002</t>
  </si>
  <si>
    <t>Ga0680997_03.region001</t>
  </si>
  <si>
    <t>Ga0680997_03</t>
  </si>
  <si>
    <t>Ga0680997_04.region001</t>
  </si>
  <si>
    <t>Ga0680997_04</t>
  </si>
  <si>
    <t>Ga0680997_07.region001</t>
  </si>
  <si>
    <t>Ga0680997_07</t>
  </si>
  <si>
    <t>Ga0680997_08.region001</t>
  </si>
  <si>
    <t>Ga0680997_08</t>
  </si>
  <si>
    <t>Ga0680997_14.region001</t>
  </si>
  <si>
    <t>Ga0680997_14</t>
  </si>
  <si>
    <t>Ga0680998_20.region001</t>
  </si>
  <si>
    <t>Ga0680998_20</t>
  </si>
  <si>
    <t>Ga0680998_04.region001</t>
  </si>
  <si>
    <t>Ga0680998_04</t>
  </si>
  <si>
    <t>Ga0680998_02.region001</t>
  </si>
  <si>
    <t>Ga0680998_02</t>
  </si>
  <si>
    <t>Ga0680998_02.region002</t>
  </si>
  <si>
    <t>Ga0680998_07.region001</t>
  </si>
  <si>
    <t>Ga0680998_07</t>
  </si>
  <si>
    <t>Ga0680998_08.region001</t>
  </si>
  <si>
    <t>Ga0680998_08</t>
  </si>
  <si>
    <t>Ga0680998_14.region001</t>
  </si>
  <si>
    <t>Ga0680998_14</t>
  </si>
  <si>
    <t>Ga0680998_03.region001</t>
  </si>
  <si>
    <t>Ga0680998_03</t>
  </si>
  <si>
    <t>Ga0681003_06.region001</t>
  </si>
  <si>
    <t>Ga0681003_06</t>
  </si>
  <si>
    <t>hserlactone</t>
  </si>
  <si>
    <t>Ga0681003_15.region001</t>
  </si>
  <si>
    <t>Ga0681003_15</t>
  </si>
  <si>
    <t>Ga0681003_11.region001</t>
  </si>
  <si>
    <t>Ga0681003_11</t>
  </si>
  <si>
    <t>Ga0681003_08.region002</t>
  </si>
  <si>
    <t>Ga0681003_08</t>
  </si>
  <si>
    <t>Ga0681003_06.region002</t>
  </si>
  <si>
    <t>Ga0681003_02.region001</t>
  </si>
  <si>
    <t>Ga0681003_02</t>
  </si>
  <si>
    <t>Ga0681003_08.region001</t>
  </si>
  <si>
    <t>Ga0681003_14.region001</t>
  </si>
  <si>
    <t>Ga0681003_14</t>
  </si>
  <si>
    <t>Ga0681033_09.region001</t>
  </si>
  <si>
    <t>Ga0681033_09</t>
  </si>
  <si>
    <t>Ga0681033_04.region001</t>
  </si>
  <si>
    <t>Ga0681033_04</t>
  </si>
  <si>
    <t>Ga0681033_32.region001</t>
  </si>
  <si>
    <t>Ga0681033_32</t>
  </si>
  <si>
    <t>Ga0680230_07.region001</t>
  </si>
  <si>
    <t>Ga0680230_07</t>
  </si>
  <si>
    <t>Ga0680230_02.region001</t>
  </si>
  <si>
    <t>Ga0680230_02</t>
  </si>
  <si>
    <t>Ga0680230_02.region002</t>
  </si>
  <si>
    <t>Ga0685613_01.region001</t>
  </si>
  <si>
    <t>Ga0685613_01</t>
  </si>
  <si>
    <t>Ga0685613_01.region003</t>
  </si>
  <si>
    <t>Ga0685613_03.region001</t>
  </si>
  <si>
    <t>Ga0685613_03</t>
  </si>
  <si>
    <t>Ga0685613_01.region002</t>
  </si>
  <si>
    <t>Ga0685613_07.region001</t>
  </si>
  <si>
    <t>Ga0685613_07</t>
  </si>
  <si>
    <t>Assembly</t>
  </si>
  <si>
    <t>Strain_id</t>
  </si>
  <si>
    <t>Title</t>
  </si>
  <si>
    <t>Region</t>
  </si>
  <si>
    <t>Type</t>
  </si>
  <si>
    <t>From</t>
  </si>
  <si>
    <t>To</t>
  </si>
  <si>
    <t>Most_similar_known_cluster</t>
  </si>
  <si>
    <t>Cluster_category</t>
  </si>
  <si>
    <t>Similarity</t>
  </si>
  <si>
    <t>Region 1.1</t>
  </si>
  <si>
    <t>avilamycin A/avilamycin C</t>
  </si>
  <si>
    <t>Saccharide:Oligosaccharide</t>
  </si>
  <si>
    <t>Region 1.2</t>
  </si>
  <si>
    <t>Region 1.3</t>
  </si>
  <si>
    <t>Region 3.1</t>
  </si>
  <si>
    <t>microansamycin</t>
  </si>
  <si>
    <t>Polyketide</t>
  </si>
  <si>
    <t>Region 9.1</t>
  </si>
  <si>
    <t>carotenoid</t>
  </si>
  <si>
    <t>Terpene</t>
  </si>
  <si>
    <t>Region 2.1</t>
  </si>
  <si>
    <t>Region 2.2</t>
  </si>
  <si>
    <t>alcaligin</t>
  </si>
  <si>
    <t>Other</t>
  </si>
  <si>
    <t>lipopolysaccharide</t>
  </si>
  <si>
    <t>Saccharide:Lipopolysaccharide</t>
  </si>
  <si>
    <t>Region 4.1</t>
  </si>
  <si>
    <t>Region 7.1</t>
  </si>
  <si>
    <t>lankacidin C</t>
  </si>
  <si>
    <t>NRP+Polyketide</t>
  </si>
  <si>
    <t>Region 8.1</t>
  </si>
  <si>
    <t>Region 14.1</t>
  </si>
  <si>
    <t>corynecin III/corynecin I/corynecin II</t>
  </si>
  <si>
    <t>Region 20.1</t>
  </si>
  <si>
    <t>Region 13.1</t>
  </si>
  <si>
    <t>Region 19.1</t>
  </si>
  <si>
    <t>terpene,T3PKS</t>
  </si>
  <si>
    <t>Region 5.1</t>
  </si>
  <si>
    <t>N-tetradecanoyl tyrosine</t>
  </si>
  <si>
    <t>Region 12.1</t>
  </si>
  <si>
    <t>staphyloferrin A</t>
  </si>
  <si>
    <t>Other:Non-NRP siderophore</t>
  </si>
  <si>
    <t>stenothricin</t>
  </si>
  <si>
    <t>NRP:Cyclic depsipeptide</t>
  </si>
  <si>
    <t>Region 32.1</t>
  </si>
  <si>
    <t>enterobactin</t>
  </si>
  <si>
    <t>NRP</t>
  </si>
  <si>
    <t>Region 6.1</t>
  </si>
  <si>
    <t>Region 6.2</t>
  </si>
  <si>
    <t>Region 8.2</t>
  </si>
  <si>
    <t>T1PKS,terpene</t>
  </si>
  <si>
    <t>Region 11.1</t>
  </si>
  <si>
    <t>roseobactin</t>
  </si>
  <si>
    <t>Region 15.1</t>
  </si>
  <si>
    <t>FW0622</t>
  </si>
  <si>
    <t>T3PKS,terpene</t>
  </si>
  <si>
    <t>Folder_Name</t>
  </si>
  <si>
    <t>Strain Name / Genome Name</t>
  </si>
  <si>
    <t>Sphingomonas lutea F9_3S_D5_B_2</t>
  </si>
  <si>
    <t>Methylorubrum extorquens 153480035-1</t>
  </si>
  <si>
    <t>Kocuria rhizophila 111540051-3</t>
  </si>
  <si>
    <t>Staphylococcus hominis 153480033-6</t>
  </si>
  <si>
    <t>Streptococcus sp. 151470009-6</t>
  </si>
  <si>
    <t>Rothia mucilaginosa 110740021-2</t>
  </si>
  <si>
    <t>Ralstonia insidiosa 121560039-2</t>
  </si>
  <si>
    <t>Ralstonia insidiosa 151470066-1</t>
  </si>
  <si>
    <t>Ralstonia insidiosa 142550021-1</t>
  </si>
  <si>
    <t>Ralstonia insidiosa 151470044-1</t>
  </si>
  <si>
    <t>Ralstonia insidiosa 142550027-2</t>
  </si>
  <si>
    <t>Ralstonia insidiosa 130770013-1</t>
  </si>
  <si>
    <t>Ralstonia insidiosa 151470066-2</t>
  </si>
  <si>
    <t>Staphylococcus warneri 121210007-3</t>
  </si>
  <si>
    <t>Staphylococcus warneri 140720001-1</t>
  </si>
  <si>
    <t>Ralstonia insidiosa 123250053-1</t>
  </si>
  <si>
    <t>Kocuria marina F10_7S_D2_EB4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</si>
</sst>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3" xfId="0" applyAlignment="1" applyFont="1" applyNumberFormat="1">
      <alignment horizontal="left" readingOrder="0"/>
    </xf>
    <xf borderId="0" fillId="0" fontId="2" numFmtId="9" xfId="0" applyAlignment="1" applyFont="1" applyNumberFormat="1">
      <alignment horizontal="left" readingOrder="0"/>
    </xf>
    <xf borderId="0" fillId="0" fontId="2" numFmtId="3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9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2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9" xfId="0" applyAlignment="1" applyFont="1" applyNumberForma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25"/>
    <col customWidth="1" min="2" max="2" width="31.13"/>
    <col customWidth="1" min="6" max="6" width="2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8.132433368E9</v>
      </c>
      <c r="B2" s="2" t="str">
        <f t="array" ref="B2">INDEX(Sheet2!B:B, MATCH(A2, Sheet2!A:A, 0))
</f>
        <v>Rothia mucilaginosa 110740021-2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1015.0</v>
      </c>
      <c r="H2" s="2">
        <v>43294.0</v>
      </c>
      <c r="I2" s="2">
        <v>42280.0</v>
      </c>
      <c r="J2" s="2">
        <v>37.0</v>
      </c>
      <c r="K2" s="2">
        <v>0.0</v>
      </c>
      <c r="L2" s="2">
        <v>0.0</v>
      </c>
      <c r="M2" s="2">
        <v>0.0</v>
      </c>
      <c r="N2" s="2">
        <v>0.0</v>
      </c>
      <c r="O2" s="2" t="s">
        <v>22</v>
      </c>
      <c r="P2" s="2">
        <v>59.97</v>
      </c>
      <c r="Q2" s="2">
        <v>9.0E-4</v>
      </c>
    </row>
    <row r="3">
      <c r="A3" s="2">
        <v>8.132450495E9</v>
      </c>
      <c r="B3" s="2" t="str">
        <f t="array" ref="B3">INDEX(Sheet2!B:B, MATCH(A3, Sheet2!A:A, 0))
</f>
        <v>Kocuria rhizophila 111540051-3</v>
      </c>
      <c r="C3" s="2" t="s">
        <v>23</v>
      </c>
      <c r="D3" s="2" t="s">
        <v>24</v>
      </c>
      <c r="E3" s="2" t="s">
        <v>20</v>
      </c>
      <c r="F3" s="2" t="s">
        <v>25</v>
      </c>
      <c r="G3" s="2">
        <v>1571.0</v>
      </c>
      <c r="H3" s="2">
        <v>33678.0</v>
      </c>
      <c r="I3" s="2">
        <v>32108.0</v>
      </c>
      <c r="J3" s="2">
        <v>30.0</v>
      </c>
      <c r="K3" s="2">
        <v>0.0</v>
      </c>
      <c r="L3" s="2">
        <v>0.0</v>
      </c>
      <c r="M3" s="2">
        <v>0.0</v>
      </c>
      <c r="N3" s="2">
        <v>0.0</v>
      </c>
      <c r="O3" s="2" t="s">
        <v>22</v>
      </c>
      <c r="P3" s="2">
        <v>73.41</v>
      </c>
      <c r="Q3" s="2">
        <v>9.0E-4</v>
      </c>
    </row>
    <row r="4">
      <c r="A4" s="2">
        <v>8.132450495E9</v>
      </c>
      <c r="B4" s="2" t="str">
        <f t="array" ref="B4">INDEX(Sheet2!B:B, MATCH(A4, Sheet2!A:A, 0))
</f>
        <v>Kocuria rhizophila 111540051-3</v>
      </c>
      <c r="C4" s="2" t="s">
        <v>26</v>
      </c>
      <c r="D4" s="2" t="s">
        <v>24</v>
      </c>
      <c r="E4" s="2" t="s">
        <v>20</v>
      </c>
      <c r="F4" s="2" t="s">
        <v>27</v>
      </c>
      <c r="G4" s="2">
        <v>622.0</v>
      </c>
      <c r="H4" s="2">
        <v>40918.0</v>
      </c>
      <c r="I4" s="2">
        <v>40297.0</v>
      </c>
      <c r="J4" s="2">
        <v>42.0</v>
      </c>
      <c r="K4" s="2">
        <v>0.0</v>
      </c>
      <c r="L4" s="2">
        <v>0.0</v>
      </c>
      <c r="M4" s="2">
        <v>0.0</v>
      </c>
      <c r="N4" s="2">
        <v>0.0</v>
      </c>
      <c r="O4" s="2" t="s">
        <v>22</v>
      </c>
      <c r="P4" s="2">
        <v>71.02</v>
      </c>
      <c r="Q4" s="2">
        <v>0.001</v>
      </c>
    </row>
    <row r="5">
      <c r="A5" s="2">
        <v>8.132450495E9</v>
      </c>
      <c r="B5" s="2" t="str">
        <f t="array" ref="B5">INDEX(Sheet2!B:B, MATCH(A5, Sheet2!A:A, 0))
</f>
        <v>Kocuria rhizophila 111540051-3</v>
      </c>
      <c r="C5" s="2" t="s">
        <v>28</v>
      </c>
      <c r="D5" s="2" t="s">
        <v>24</v>
      </c>
      <c r="E5" s="2" t="s">
        <v>20</v>
      </c>
      <c r="F5" s="2" t="s">
        <v>29</v>
      </c>
      <c r="G5" s="2">
        <v>843.0</v>
      </c>
      <c r="H5" s="2">
        <v>29297.0</v>
      </c>
      <c r="I5" s="2">
        <v>28455.0</v>
      </c>
      <c r="J5" s="2">
        <v>25.0</v>
      </c>
      <c r="K5" s="2">
        <v>0.0</v>
      </c>
      <c r="L5" s="2">
        <v>0.0</v>
      </c>
      <c r="M5" s="2">
        <v>0.0</v>
      </c>
      <c r="N5" s="2">
        <v>0.0</v>
      </c>
      <c r="O5" s="2" t="s">
        <v>22</v>
      </c>
      <c r="P5" s="2">
        <v>71.76</v>
      </c>
      <c r="Q5" s="2">
        <v>9.0E-4</v>
      </c>
    </row>
    <row r="6">
      <c r="A6" s="2">
        <v>8.132450495E9</v>
      </c>
      <c r="B6" s="2" t="str">
        <f t="array" ref="B6">INDEX(Sheet2!B:B, MATCH(A6, Sheet2!A:A, 0))
</f>
        <v>Kocuria rhizophila 111540051-3</v>
      </c>
      <c r="C6" s="2" t="s">
        <v>30</v>
      </c>
      <c r="D6" s="2" t="s">
        <v>31</v>
      </c>
      <c r="E6" s="2" t="s">
        <v>20</v>
      </c>
      <c r="F6" s="2" t="s">
        <v>32</v>
      </c>
      <c r="G6" s="2">
        <v>362.0</v>
      </c>
      <c r="H6" s="2">
        <v>25473.0</v>
      </c>
      <c r="I6" s="2">
        <v>25112.0</v>
      </c>
      <c r="J6" s="2">
        <v>23.0</v>
      </c>
      <c r="K6" s="2">
        <v>0.0</v>
      </c>
      <c r="L6" s="2">
        <v>0.0</v>
      </c>
      <c r="M6" s="2">
        <v>0.0</v>
      </c>
      <c r="N6" s="2">
        <v>0.0</v>
      </c>
      <c r="O6" s="2" t="s">
        <v>33</v>
      </c>
      <c r="P6" s="2">
        <v>72.65</v>
      </c>
      <c r="Q6" s="2">
        <v>9.0E-4</v>
      </c>
    </row>
    <row r="7">
      <c r="A7" s="2">
        <v>8.132450495E9</v>
      </c>
      <c r="B7" s="2" t="str">
        <f t="array" ref="B7">INDEX(Sheet2!B:B, MATCH(A7, Sheet2!A:A, 0))
</f>
        <v>Kocuria rhizophila 111540051-3</v>
      </c>
      <c r="C7" s="2" t="s">
        <v>34</v>
      </c>
      <c r="D7" s="2" t="s">
        <v>35</v>
      </c>
      <c r="E7" s="2" t="s">
        <v>20</v>
      </c>
      <c r="F7" s="2" t="s">
        <v>36</v>
      </c>
      <c r="G7" s="2">
        <v>313.0</v>
      </c>
      <c r="H7" s="2">
        <v>20436.0</v>
      </c>
      <c r="I7" s="2">
        <v>20124.0</v>
      </c>
      <c r="J7" s="2">
        <v>20.0</v>
      </c>
      <c r="K7" s="2">
        <v>0.0</v>
      </c>
      <c r="L7" s="2">
        <v>0.0</v>
      </c>
      <c r="M7" s="2">
        <v>0.0</v>
      </c>
      <c r="N7" s="2">
        <v>0.0</v>
      </c>
      <c r="O7" s="2" t="s">
        <v>22</v>
      </c>
      <c r="P7" s="2">
        <v>72.27</v>
      </c>
      <c r="Q7" s="2">
        <v>0.001</v>
      </c>
    </row>
    <row r="8">
      <c r="A8" s="2">
        <v>8.132503709E9</v>
      </c>
      <c r="B8" s="2" t="str">
        <f t="array" ref="B8">INDEX(Sheet2!B:B, MATCH(A8, Sheet2!A:A, 0))
</f>
        <v>Staphylococcus warneri 121210007-3</v>
      </c>
      <c r="C8" s="2" t="s">
        <v>37</v>
      </c>
      <c r="D8" s="2" t="s">
        <v>38</v>
      </c>
      <c r="E8" s="2" t="s">
        <v>20</v>
      </c>
      <c r="F8" s="2" t="s">
        <v>29</v>
      </c>
      <c r="G8" s="2">
        <v>258.0</v>
      </c>
      <c r="H8" s="2">
        <v>32141.0</v>
      </c>
      <c r="I8" s="2">
        <v>31884.0</v>
      </c>
      <c r="J8" s="2">
        <v>32.0</v>
      </c>
      <c r="K8" s="2">
        <v>0.0</v>
      </c>
      <c r="L8" s="2">
        <v>0.0</v>
      </c>
      <c r="M8" s="2">
        <v>0.0</v>
      </c>
      <c r="N8" s="2">
        <v>0.0</v>
      </c>
      <c r="O8" s="2" t="s">
        <v>22</v>
      </c>
      <c r="P8" s="2">
        <v>32.02</v>
      </c>
      <c r="Q8" s="2">
        <v>0.001</v>
      </c>
    </row>
    <row r="9">
      <c r="A9" s="2">
        <v>8.132503709E9</v>
      </c>
      <c r="B9" s="2" t="str">
        <f t="array" ref="B9">INDEX(Sheet2!B:B, MATCH(A9, Sheet2!A:A, 0))
</f>
        <v>Staphylococcus warneri 121210007-3</v>
      </c>
      <c r="C9" s="2" t="s">
        <v>39</v>
      </c>
      <c r="D9" s="2" t="s">
        <v>40</v>
      </c>
      <c r="E9" s="2" t="s">
        <v>20</v>
      </c>
      <c r="F9" s="2" t="s">
        <v>27</v>
      </c>
      <c r="G9" s="2">
        <v>70.0</v>
      </c>
      <c r="H9" s="2">
        <v>46782.0</v>
      </c>
      <c r="I9" s="2">
        <v>46713.0</v>
      </c>
      <c r="J9" s="2">
        <v>50.0</v>
      </c>
      <c r="K9" s="2">
        <v>0.0</v>
      </c>
      <c r="L9" s="2">
        <v>0.0</v>
      </c>
      <c r="M9" s="2">
        <v>0.0</v>
      </c>
      <c r="N9" s="2">
        <v>0.0</v>
      </c>
      <c r="O9" s="2" t="s">
        <v>22</v>
      </c>
      <c r="P9" s="2">
        <v>33.56</v>
      </c>
      <c r="Q9" s="2">
        <v>0.0011</v>
      </c>
    </row>
    <row r="10">
      <c r="A10" s="2">
        <v>8.132503709E9</v>
      </c>
      <c r="B10" s="2" t="str">
        <f t="array" ref="B10">INDEX(Sheet2!B:B, MATCH(A10, Sheet2!A:A, 0))
</f>
        <v>Staphylococcus warneri 121210007-3</v>
      </c>
      <c r="C10" s="2" t="s">
        <v>41</v>
      </c>
      <c r="D10" s="2" t="s">
        <v>42</v>
      </c>
      <c r="E10" s="2" t="s">
        <v>20</v>
      </c>
      <c r="F10" s="2" t="s">
        <v>43</v>
      </c>
      <c r="G10" s="2">
        <v>602.0</v>
      </c>
      <c r="H10" s="2">
        <v>19143.0</v>
      </c>
      <c r="I10" s="2">
        <v>18542.0</v>
      </c>
      <c r="J10" s="2">
        <v>21.0</v>
      </c>
      <c r="K10" s="2">
        <v>0.0</v>
      </c>
      <c r="L10" s="2">
        <v>0.0</v>
      </c>
      <c r="M10" s="2">
        <v>0.0</v>
      </c>
      <c r="N10" s="2">
        <v>0.0</v>
      </c>
      <c r="O10" s="2" t="s">
        <v>33</v>
      </c>
      <c r="P10" s="2">
        <v>31.71</v>
      </c>
      <c r="Q10" s="2">
        <v>0.0011</v>
      </c>
    </row>
    <row r="11">
      <c r="A11" s="2">
        <v>8.132551458E9</v>
      </c>
      <c r="B11" s="2" t="str">
        <f t="array" ref="B11">INDEX(Sheet2!B:B, MATCH(A11, Sheet2!A:A, 0))
</f>
        <v>Ralstonia insidiosa 121560039-2</v>
      </c>
      <c r="C11" s="2" t="s">
        <v>44</v>
      </c>
      <c r="D11" s="2" t="s">
        <v>45</v>
      </c>
      <c r="E11" s="2" t="s">
        <v>20</v>
      </c>
      <c r="F11" s="2" t="s">
        <v>36</v>
      </c>
      <c r="G11" s="2">
        <v>1536.0</v>
      </c>
      <c r="H11" s="2">
        <v>20075.0</v>
      </c>
      <c r="I11" s="2">
        <v>18540.0</v>
      </c>
      <c r="J11" s="2">
        <v>14.0</v>
      </c>
      <c r="K11" s="2">
        <v>0.0</v>
      </c>
      <c r="L11" s="2">
        <v>0.0</v>
      </c>
      <c r="M11" s="2">
        <v>0.0</v>
      </c>
      <c r="N11" s="2">
        <v>0.0</v>
      </c>
      <c r="O11" s="2" t="s">
        <v>22</v>
      </c>
      <c r="P11" s="2">
        <v>63.42</v>
      </c>
      <c r="Q11" s="2">
        <v>8.0E-4</v>
      </c>
    </row>
    <row r="12">
      <c r="A12" s="2">
        <v>8.132551458E9</v>
      </c>
      <c r="B12" s="2" t="str">
        <f t="array" ref="B12">INDEX(Sheet2!B:B, MATCH(A12, Sheet2!A:A, 0))
</f>
        <v>Ralstonia insidiosa 121560039-2</v>
      </c>
      <c r="C12" s="2" t="s">
        <v>46</v>
      </c>
      <c r="D12" s="2" t="s">
        <v>47</v>
      </c>
      <c r="E12" s="2" t="s">
        <v>20</v>
      </c>
      <c r="F12" s="2" t="s">
        <v>48</v>
      </c>
      <c r="G12" s="2">
        <v>685.0</v>
      </c>
      <c r="H12" s="2">
        <v>8770.0</v>
      </c>
      <c r="I12" s="2">
        <v>8086.0</v>
      </c>
      <c r="J12" s="2">
        <v>9.0</v>
      </c>
      <c r="K12" s="2">
        <v>0.0</v>
      </c>
      <c r="L12" s="2">
        <v>0.0</v>
      </c>
      <c r="M12" s="2">
        <v>0.0</v>
      </c>
      <c r="N12" s="2">
        <v>0.0</v>
      </c>
      <c r="O12" s="2" t="s">
        <v>22</v>
      </c>
      <c r="P12" s="2">
        <v>63.24</v>
      </c>
      <c r="Q12" s="2">
        <v>0.0011</v>
      </c>
    </row>
    <row r="13">
      <c r="A13" s="2">
        <v>8.132551458E9</v>
      </c>
      <c r="B13" s="2" t="str">
        <f t="array" ref="B13">INDEX(Sheet2!B:B, MATCH(A13, Sheet2!A:A, 0))
</f>
        <v>Ralstonia insidiosa 121560039-2</v>
      </c>
      <c r="C13" s="2" t="s">
        <v>49</v>
      </c>
      <c r="D13" s="2" t="s">
        <v>50</v>
      </c>
      <c r="E13" s="2" t="s">
        <v>20</v>
      </c>
      <c r="F13" s="2" t="s">
        <v>51</v>
      </c>
      <c r="G13" s="2">
        <v>746.0</v>
      </c>
      <c r="H13" s="2">
        <v>47139.0</v>
      </c>
      <c r="I13" s="2">
        <v>46394.0</v>
      </c>
      <c r="J13" s="2">
        <v>56.0</v>
      </c>
      <c r="K13" s="2">
        <v>0.0</v>
      </c>
      <c r="L13" s="2">
        <v>0.0</v>
      </c>
      <c r="M13" s="2">
        <v>0.0</v>
      </c>
      <c r="N13" s="2">
        <v>0.0</v>
      </c>
      <c r="O13" s="2" t="s">
        <v>22</v>
      </c>
      <c r="P13" s="2">
        <v>61.27</v>
      </c>
      <c r="Q13" s="2">
        <v>0.0012</v>
      </c>
    </row>
    <row r="14">
      <c r="A14" s="2">
        <v>8.132551458E9</v>
      </c>
      <c r="B14" s="2" t="str">
        <f t="array" ref="B14">INDEX(Sheet2!B:B, MATCH(A14, Sheet2!A:A, 0))
</f>
        <v>Ralstonia insidiosa 121560039-2</v>
      </c>
      <c r="C14" s="2" t="s">
        <v>52</v>
      </c>
      <c r="D14" s="2" t="s">
        <v>45</v>
      </c>
      <c r="E14" s="2" t="s">
        <v>20</v>
      </c>
      <c r="F14" s="2" t="s">
        <v>29</v>
      </c>
      <c r="G14" s="2">
        <v>187.0</v>
      </c>
      <c r="H14" s="2">
        <v>29770.0</v>
      </c>
      <c r="I14" s="2">
        <v>29584.0</v>
      </c>
      <c r="J14" s="2">
        <v>25.0</v>
      </c>
      <c r="K14" s="2">
        <v>0.0</v>
      </c>
      <c r="L14" s="2">
        <v>0.0</v>
      </c>
      <c r="M14" s="2">
        <v>0.0</v>
      </c>
      <c r="N14" s="2">
        <v>0.0</v>
      </c>
      <c r="O14" s="2" t="s">
        <v>22</v>
      </c>
      <c r="P14" s="2">
        <v>62.33</v>
      </c>
      <c r="Q14" s="2">
        <v>8.0E-4</v>
      </c>
    </row>
    <row r="15">
      <c r="A15" s="2">
        <v>8.132551458E9</v>
      </c>
      <c r="B15" s="2" t="str">
        <f t="array" ref="B15">INDEX(Sheet2!B:B, MATCH(A15, Sheet2!A:A, 0))
</f>
        <v>Ralstonia insidiosa 121560039-2</v>
      </c>
      <c r="C15" s="2" t="s">
        <v>53</v>
      </c>
      <c r="D15" s="2" t="s">
        <v>54</v>
      </c>
      <c r="E15" s="2" t="s">
        <v>20</v>
      </c>
      <c r="F15" s="2" t="s">
        <v>55</v>
      </c>
      <c r="G15" s="2">
        <v>381.0</v>
      </c>
      <c r="H15" s="2">
        <v>40856.0</v>
      </c>
      <c r="I15" s="2">
        <v>40476.0</v>
      </c>
      <c r="J15" s="2">
        <v>47.0</v>
      </c>
      <c r="K15" s="2">
        <v>0.0</v>
      </c>
      <c r="L15" s="2">
        <v>0.0</v>
      </c>
      <c r="M15" s="2">
        <v>0.0</v>
      </c>
      <c r="N15" s="2">
        <v>0.0</v>
      </c>
      <c r="O15" s="2" t="s">
        <v>33</v>
      </c>
      <c r="P15" s="2">
        <v>64.8</v>
      </c>
      <c r="Q15" s="2">
        <v>0.0012</v>
      </c>
    </row>
    <row r="16">
      <c r="A16" s="2">
        <v>8.132551458E9</v>
      </c>
      <c r="B16" s="2" t="str">
        <f t="array" ref="B16">INDEX(Sheet2!B:B, MATCH(A16, Sheet2!A:A, 0))
</f>
        <v>Ralstonia insidiosa 121560039-2</v>
      </c>
      <c r="C16" s="2" t="s">
        <v>56</v>
      </c>
      <c r="D16" s="2" t="s">
        <v>57</v>
      </c>
      <c r="E16" s="2" t="s">
        <v>20</v>
      </c>
      <c r="F16" s="2" t="s">
        <v>58</v>
      </c>
      <c r="G16" s="2">
        <v>220.0</v>
      </c>
      <c r="H16" s="2">
        <v>11666.0</v>
      </c>
      <c r="I16" s="2">
        <v>11447.0</v>
      </c>
      <c r="J16" s="2">
        <v>11.0</v>
      </c>
      <c r="K16" s="2">
        <v>0.0</v>
      </c>
      <c r="L16" s="2">
        <v>0.0</v>
      </c>
      <c r="M16" s="2">
        <v>0.0</v>
      </c>
      <c r="N16" s="2">
        <v>0.0</v>
      </c>
      <c r="O16" s="2" t="s">
        <v>33</v>
      </c>
      <c r="P16" s="2">
        <v>65.12</v>
      </c>
      <c r="Q16" s="2">
        <v>0.001</v>
      </c>
    </row>
    <row r="17">
      <c r="A17" s="2">
        <v>8.132551458E9</v>
      </c>
      <c r="B17" s="2" t="str">
        <f t="array" ref="B17">INDEX(Sheet2!B:B, MATCH(A17, Sheet2!A:A, 0))
</f>
        <v>Ralstonia insidiosa 121560039-2</v>
      </c>
      <c r="C17" s="2" t="s">
        <v>59</v>
      </c>
      <c r="D17" s="2" t="s">
        <v>60</v>
      </c>
      <c r="E17" s="2" t="s">
        <v>20</v>
      </c>
      <c r="F17" s="2" t="s">
        <v>32</v>
      </c>
      <c r="G17" s="2">
        <v>457.0</v>
      </c>
      <c r="H17" s="2">
        <v>24830.0</v>
      </c>
      <c r="I17" s="2">
        <v>24374.0</v>
      </c>
      <c r="J17" s="2">
        <v>27.0</v>
      </c>
      <c r="K17" s="2">
        <v>0.0</v>
      </c>
      <c r="L17" s="2">
        <v>0.0</v>
      </c>
      <c r="M17" s="2">
        <v>0.0</v>
      </c>
      <c r="N17" s="2">
        <v>0.0</v>
      </c>
      <c r="O17" s="2" t="s">
        <v>33</v>
      </c>
      <c r="P17" s="2">
        <v>65.21</v>
      </c>
      <c r="Q17" s="2">
        <v>0.0011</v>
      </c>
    </row>
    <row r="18">
      <c r="A18" s="2">
        <v>8.132551458E9</v>
      </c>
      <c r="B18" s="2" t="str">
        <f t="array" ref="B18">INDEX(Sheet2!B:B, MATCH(A18, Sheet2!A:A, 0))
</f>
        <v>Ralstonia insidiosa 121560039-2</v>
      </c>
      <c r="C18" s="2" t="s">
        <v>61</v>
      </c>
      <c r="D18" s="2" t="s">
        <v>62</v>
      </c>
      <c r="E18" s="2" t="s">
        <v>20</v>
      </c>
      <c r="F18" s="2" t="s">
        <v>63</v>
      </c>
      <c r="G18" s="2">
        <v>719.0</v>
      </c>
      <c r="H18" s="2">
        <v>21675.0</v>
      </c>
      <c r="I18" s="2">
        <v>20957.0</v>
      </c>
      <c r="J18" s="2">
        <v>19.0</v>
      </c>
      <c r="K18" s="2">
        <v>0.0</v>
      </c>
      <c r="L18" s="2">
        <v>0.0</v>
      </c>
      <c r="M18" s="2">
        <v>0.0</v>
      </c>
      <c r="N18" s="2">
        <v>0.0</v>
      </c>
      <c r="O18" s="2" t="s">
        <v>33</v>
      </c>
      <c r="P18" s="2">
        <v>63.92</v>
      </c>
      <c r="Q18" s="2">
        <v>9.0E-4</v>
      </c>
    </row>
    <row r="19">
      <c r="A19" s="2">
        <v>8.132595571E9</v>
      </c>
      <c r="B19" s="2" t="str">
        <f t="array" ref="B19">INDEX(Sheet2!B:B, MATCH(A19, Sheet2!A:A, 0))
</f>
        <v>Ralstonia insidiosa 123250053-1</v>
      </c>
      <c r="C19" s="2" t="s">
        <v>64</v>
      </c>
      <c r="D19" s="2" t="s">
        <v>65</v>
      </c>
      <c r="E19" s="2" t="s">
        <v>20</v>
      </c>
      <c r="F19" s="2" t="s">
        <v>63</v>
      </c>
      <c r="G19" s="2">
        <v>446.0</v>
      </c>
      <c r="H19" s="2">
        <v>21402.0</v>
      </c>
      <c r="I19" s="2">
        <v>20957.0</v>
      </c>
      <c r="J19" s="2">
        <v>19.0</v>
      </c>
      <c r="K19" s="2">
        <v>0.0</v>
      </c>
      <c r="L19" s="2">
        <v>0.0</v>
      </c>
      <c r="M19" s="2">
        <v>0.0</v>
      </c>
      <c r="N19" s="2">
        <v>0.0</v>
      </c>
      <c r="O19" s="2" t="s">
        <v>22</v>
      </c>
      <c r="P19" s="2">
        <v>63.92</v>
      </c>
      <c r="Q19" s="2">
        <v>9.0E-4</v>
      </c>
    </row>
    <row r="20">
      <c r="A20" s="2">
        <v>8.132595571E9</v>
      </c>
      <c r="B20" s="2" t="str">
        <f t="array" ref="B20">INDEX(Sheet2!B:B, MATCH(A20, Sheet2!A:A, 0))
</f>
        <v>Ralstonia insidiosa 123250053-1</v>
      </c>
      <c r="C20" s="2" t="s">
        <v>66</v>
      </c>
      <c r="D20" s="2" t="s">
        <v>67</v>
      </c>
      <c r="E20" s="2" t="s">
        <v>20</v>
      </c>
      <c r="F20" s="2" t="s">
        <v>29</v>
      </c>
      <c r="G20" s="2">
        <v>187.0</v>
      </c>
      <c r="H20" s="2">
        <v>29770.0</v>
      </c>
      <c r="I20" s="2">
        <v>29584.0</v>
      </c>
      <c r="J20" s="2">
        <v>25.0</v>
      </c>
      <c r="K20" s="2">
        <v>0.0</v>
      </c>
      <c r="L20" s="2">
        <v>0.0</v>
      </c>
      <c r="M20" s="2">
        <v>0.0</v>
      </c>
      <c r="N20" s="2">
        <v>0.0</v>
      </c>
      <c r="O20" s="2" t="s">
        <v>22</v>
      </c>
      <c r="P20" s="2">
        <v>62.33</v>
      </c>
      <c r="Q20" s="2">
        <v>8.0E-4</v>
      </c>
    </row>
    <row r="21">
      <c r="A21" s="2">
        <v>8.132595571E9</v>
      </c>
      <c r="B21" s="2" t="str">
        <f t="array" ref="B21">INDEX(Sheet2!B:B, MATCH(A21, Sheet2!A:A, 0))
</f>
        <v>Ralstonia insidiosa 123250053-1</v>
      </c>
      <c r="C21" s="2" t="s">
        <v>68</v>
      </c>
      <c r="D21" s="2" t="s">
        <v>69</v>
      </c>
      <c r="E21" s="2" t="s">
        <v>20</v>
      </c>
      <c r="F21" s="2" t="s">
        <v>32</v>
      </c>
      <c r="G21" s="2">
        <v>457.0</v>
      </c>
      <c r="H21" s="2">
        <v>24830.0</v>
      </c>
      <c r="I21" s="2">
        <v>24374.0</v>
      </c>
      <c r="J21" s="2">
        <v>27.0</v>
      </c>
      <c r="K21" s="2">
        <v>0.0</v>
      </c>
      <c r="L21" s="2">
        <v>0.0</v>
      </c>
      <c r="M21" s="2">
        <v>0.0</v>
      </c>
      <c r="N21" s="2">
        <v>0.0</v>
      </c>
      <c r="O21" s="2" t="s">
        <v>33</v>
      </c>
      <c r="P21" s="2">
        <v>65.21</v>
      </c>
      <c r="Q21" s="2">
        <v>0.0011</v>
      </c>
    </row>
    <row r="22">
      <c r="A22" s="2">
        <v>8.132595571E9</v>
      </c>
      <c r="B22" s="2" t="str">
        <f t="array" ref="B22">INDEX(Sheet2!B:B, MATCH(A22, Sheet2!A:A, 0))
</f>
        <v>Ralstonia insidiosa 123250053-1</v>
      </c>
      <c r="C22" s="2" t="s">
        <v>70</v>
      </c>
      <c r="D22" s="2" t="s">
        <v>71</v>
      </c>
      <c r="E22" s="2" t="s">
        <v>20</v>
      </c>
      <c r="F22" s="2" t="s">
        <v>48</v>
      </c>
      <c r="G22" s="2">
        <v>1939.0</v>
      </c>
      <c r="H22" s="2">
        <v>10024.0</v>
      </c>
      <c r="I22" s="2">
        <v>8086.0</v>
      </c>
      <c r="J22" s="2">
        <v>9.0</v>
      </c>
      <c r="K22" s="2">
        <v>0.0</v>
      </c>
      <c r="L22" s="2">
        <v>0.0</v>
      </c>
      <c r="M22" s="2">
        <v>0.0</v>
      </c>
      <c r="N22" s="2">
        <v>0.0</v>
      </c>
      <c r="O22" s="2" t="s">
        <v>33</v>
      </c>
      <c r="P22" s="2">
        <v>63.24</v>
      </c>
      <c r="Q22" s="2">
        <v>0.0011</v>
      </c>
    </row>
    <row r="23">
      <c r="A23" s="2">
        <v>8.132595571E9</v>
      </c>
      <c r="B23" s="2" t="str">
        <f t="array" ref="B23">INDEX(Sheet2!B:B, MATCH(A23, Sheet2!A:A, 0))
</f>
        <v>Ralstonia insidiosa 123250053-1</v>
      </c>
      <c r="C23" s="2" t="s">
        <v>72</v>
      </c>
      <c r="D23" s="2" t="s">
        <v>67</v>
      </c>
      <c r="E23" s="2" t="s">
        <v>20</v>
      </c>
      <c r="F23" s="2" t="s">
        <v>36</v>
      </c>
      <c r="G23" s="2">
        <v>1536.0</v>
      </c>
      <c r="H23" s="2">
        <v>20075.0</v>
      </c>
      <c r="I23" s="2">
        <v>18540.0</v>
      </c>
      <c r="J23" s="2">
        <v>14.0</v>
      </c>
      <c r="K23" s="2">
        <v>0.0</v>
      </c>
      <c r="L23" s="2">
        <v>0.0</v>
      </c>
      <c r="M23" s="2">
        <v>0.0</v>
      </c>
      <c r="N23" s="2">
        <v>0.0</v>
      </c>
      <c r="O23" s="2" t="s">
        <v>22</v>
      </c>
      <c r="P23" s="2">
        <v>63.42</v>
      </c>
      <c r="Q23" s="2">
        <v>8.0E-4</v>
      </c>
    </row>
    <row r="24">
      <c r="A24" s="2">
        <v>8.132595571E9</v>
      </c>
      <c r="B24" s="2" t="str">
        <f t="array" ref="B24">INDEX(Sheet2!B:B, MATCH(A24, Sheet2!A:A, 0))
</f>
        <v>Ralstonia insidiosa 123250053-1</v>
      </c>
      <c r="C24" s="2" t="s">
        <v>73</v>
      </c>
      <c r="D24" s="2" t="s">
        <v>74</v>
      </c>
      <c r="E24" s="2" t="s">
        <v>20</v>
      </c>
      <c r="F24" s="2" t="s">
        <v>51</v>
      </c>
      <c r="G24" s="2">
        <v>746.0</v>
      </c>
      <c r="H24" s="2">
        <v>47139.0</v>
      </c>
      <c r="I24" s="2">
        <v>46394.0</v>
      </c>
      <c r="J24" s="2">
        <v>56.0</v>
      </c>
      <c r="K24" s="2">
        <v>0.0</v>
      </c>
      <c r="L24" s="2">
        <v>0.0</v>
      </c>
      <c r="M24" s="2">
        <v>0.0</v>
      </c>
      <c r="N24" s="2">
        <v>0.0</v>
      </c>
      <c r="O24" s="2" t="s">
        <v>22</v>
      </c>
      <c r="P24" s="2">
        <v>61.27</v>
      </c>
      <c r="Q24" s="2">
        <v>0.0012</v>
      </c>
    </row>
    <row r="25">
      <c r="A25" s="2">
        <v>8.132595571E9</v>
      </c>
      <c r="B25" s="2" t="str">
        <f t="array" ref="B25">INDEX(Sheet2!B:B, MATCH(A25, Sheet2!A:A, 0))
</f>
        <v>Ralstonia insidiosa 123250053-1</v>
      </c>
      <c r="C25" s="2" t="s">
        <v>75</v>
      </c>
      <c r="D25" s="2" t="s">
        <v>76</v>
      </c>
      <c r="E25" s="2" t="s">
        <v>20</v>
      </c>
      <c r="F25" s="2" t="s">
        <v>58</v>
      </c>
      <c r="G25" s="2">
        <v>220.0</v>
      </c>
      <c r="H25" s="2">
        <v>11666.0</v>
      </c>
      <c r="I25" s="2">
        <v>11447.0</v>
      </c>
      <c r="J25" s="2">
        <v>11.0</v>
      </c>
      <c r="K25" s="2">
        <v>0.0</v>
      </c>
      <c r="L25" s="2">
        <v>0.0</v>
      </c>
      <c r="M25" s="2">
        <v>0.0</v>
      </c>
      <c r="N25" s="2">
        <v>0.0</v>
      </c>
      <c r="O25" s="2" t="s">
        <v>33</v>
      </c>
      <c r="P25" s="2">
        <v>65.12</v>
      </c>
      <c r="Q25" s="2">
        <v>0.001</v>
      </c>
    </row>
    <row r="26">
      <c r="A26" s="2">
        <v>8.132595571E9</v>
      </c>
      <c r="B26" s="2" t="str">
        <f t="array" ref="B26">INDEX(Sheet2!B:B, MATCH(A26, Sheet2!A:A, 0))
</f>
        <v>Ralstonia insidiosa 123250053-1</v>
      </c>
      <c r="C26" s="2" t="s">
        <v>77</v>
      </c>
      <c r="D26" s="2" t="s">
        <v>78</v>
      </c>
      <c r="E26" s="2" t="s">
        <v>20</v>
      </c>
      <c r="F26" s="2" t="s">
        <v>55</v>
      </c>
      <c r="G26" s="2">
        <v>381.0</v>
      </c>
      <c r="H26" s="2">
        <v>40856.0</v>
      </c>
      <c r="I26" s="2">
        <v>40476.0</v>
      </c>
      <c r="J26" s="2">
        <v>47.0</v>
      </c>
      <c r="K26" s="2">
        <v>0.0</v>
      </c>
      <c r="L26" s="2">
        <v>0.0</v>
      </c>
      <c r="M26" s="2">
        <v>0.0</v>
      </c>
      <c r="N26" s="2">
        <v>0.0</v>
      </c>
      <c r="O26" s="2" t="s">
        <v>33</v>
      </c>
      <c r="P26" s="2">
        <v>64.8</v>
      </c>
      <c r="Q26" s="2">
        <v>0.0012</v>
      </c>
    </row>
    <row r="27">
      <c r="A27" s="2">
        <v>8.132601599E9</v>
      </c>
      <c r="B27" s="2" t="str">
        <f t="array" ref="B27">INDEX(Sheet2!B:B, MATCH(A27, Sheet2!A:A, 0))
</f>
        <v>Ralstonia insidiosa 130770013-1</v>
      </c>
      <c r="C27" s="2" t="s">
        <v>79</v>
      </c>
      <c r="D27" s="2" t="s">
        <v>80</v>
      </c>
      <c r="E27" s="2" t="s">
        <v>20</v>
      </c>
      <c r="F27" s="2" t="s">
        <v>51</v>
      </c>
      <c r="G27" s="2">
        <v>746.0</v>
      </c>
      <c r="H27" s="2">
        <v>47139.0</v>
      </c>
      <c r="I27" s="2">
        <v>46394.0</v>
      </c>
      <c r="J27" s="2">
        <v>56.0</v>
      </c>
      <c r="K27" s="2">
        <v>0.0</v>
      </c>
      <c r="L27" s="2">
        <v>0.0</v>
      </c>
      <c r="M27" s="2">
        <v>0.0</v>
      </c>
      <c r="N27" s="2">
        <v>0.0</v>
      </c>
      <c r="O27" s="2" t="s">
        <v>22</v>
      </c>
      <c r="P27" s="2">
        <v>61.27</v>
      </c>
      <c r="Q27" s="2">
        <v>0.0012</v>
      </c>
    </row>
    <row r="28">
      <c r="A28" s="2">
        <v>8.132601599E9</v>
      </c>
      <c r="B28" s="2" t="str">
        <f t="array" ref="B28">INDEX(Sheet2!B:B, MATCH(A28, Sheet2!A:A, 0))
</f>
        <v>Ralstonia insidiosa 130770013-1</v>
      </c>
      <c r="C28" s="2" t="s">
        <v>81</v>
      </c>
      <c r="D28" s="2" t="s">
        <v>82</v>
      </c>
      <c r="E28" s="2" t="s">
        <v>20</v>
      </c>
      <c r="F28" s="2" t="s">
        <v>32</v>
      </c>
      <c r="G28" s="2">
        <v>171.0</v>
      </c>
      <c r="H28" s="2">
        <v>24544.0</v>
      </c>
      <c r="I28" s="2">
        <v>24374.0</v>
      </c>
      <c r="J28" s="2">
        <v>27.0</v>
      </c>
      <c r="K28" s="2">
        <v>0.0</v>
      </c>
      <c r="L28" s="2">
        <v>0.0</v>
      </c>
      <c r="M28" s="2">
        <v>0.0</v>
      </c>
      <c r="N28" s="2">
        <v>0.0</v>
      </c>
      <c r="O28" s="2" t="s">
        <v>22</v>
      </c>
      <c r="P28" s="2">
        <v>65.21</v>
      </c>
      <c r="Q28" s="2">
        <v>0.0011</v>
      </c>
    </row>
    <row r="29">
      <c r="A29" s="2">
        <v>8.132601599E9</v>
      </c>
      <c r="B29" s="2" t="str">
        <f t="array" ref="B29">INDEX(Sheet2!B:B, MATCH(A29, Sheet2!A:A, 0))
</f>
        <v>Ralstonia insidiosa 130770013-1</v>
      </c>
      <c r="C29" s="2" t="s">
        <v>83</v>
      </c>
      <c r="D29" s="2" t="s">
        <v>84</v>
      </c>
      <c r="E29" s="2" t="s">
        <v>20</v>
      </c>
      <c r="F29" s="2" t="s">
        <v>58</v>
      </c>
      <c r="G29" s="2">
        <v>220.0</v>
      </c>
      <c r="H29" s="2">
        <v>11666.0</v>
      </c>
      <c r="I29" s="2">
        <v>11447.0</v>
      </c>
      <c r="J29" s="2">
        <v>11.0</v>
      </c>
      <c r="K29" s="2">
        <v>0.0</v>
      </c>
      <c r="L29" s="2">
        <v>0.0</v>
      </c>
      <c r="M29" s="2">
        <v>0.0</v>
      </c>
      <c r="N29" s="2">
        <v>0.0</v>
      </c>
      <c r="O29" s="2" t="s">
        <v>33</v>
      </c>
      <c r="P29" s="2">
        <v>65.12</v>
      </c>
      <c r="Q29" s="2">
        <v>0.001</v>
      </c>
    </row>
    <row r="30">
      <c r="A30" s="2">
        <v>8.132601599E9</v>
      </c>
      <c r="B30" s="2" t="str">
        <f t="array" ref="B30">INDEX(Sheet2!B:B, MATCH(A30, Sheet2!A:A, 0))
</f>
        <v>Ralstonia insidiosa 130770013-1</v>
      </c>
      <c r="C30" s="2" t="s">
        <v>85</v>
      </c>
      <c r="D30" s="2" t="s">
        <v>86</v>
      </c>
      <c r="E30" s="2" t="s">
        <v>20</v>
      </c>
      <c r="F30" s="2" t="s">
        <v>36</v>
      </c>
      <c r="G30" s="2">
        <v>760.0</v>
      </c>
      <c r="H30" s="2">
        <v>19299.0</v>
      </c>
      <c r="I30" s="2">
        <v>18540.0</v>
      </c>
      <c r="J30" s="2">
        <v>14.0</v>
      </c>
      <c r="K30" s="2">
        <v>0.0</v>
      </c>
      <c r="L30" s="2">
        <v>0.0</v>
      </c>
      <c r="M30" s="2">
        <v>0.0</v>
      </c>
      <c r="N30" s="2">
        <v>0.0</v>
      </c>
      <c r="O30" s="2" t="s">
        <v>33</v>
      </c>
      <c r="P30" s="2">
        <v>63.42</v>
      </c>
      <c r="Q30" s="2">
        <v>8.0E-4</v>
      </c>
    </row>
    <row r="31">
      <c r="A31" s="2">
        <v>8.132601599E9</v>
      </c>
      <c r="B31" s="2" t="str">
        <f t="array" ref="B31">INDEX(Sheet2!B:B, MATCH(A31, Sheet2!A:A, 0))
</f>
        <v>Ralstonia insidiosa 130770013-1</v>
      </c>
      <c r="C31" s="2" t="s">
        <v>87</v>
      </c>
      <c r="D31" s="2" t="s">
        <v>88</v>
      </c>
      <c r="E31" s="2" t="s">
        <v>20</v>
      </c>
      <c r="F31" s="2" t="s">
        <v>55</v>
      </c>
      <c r="G31" s="2">
        <v>381.0</v>
      </c>
      <c r="H31" s="2">
        <v>40856.0</v>
      </c>
      <c r="I31" s="2">
        <v>40476.0</v>
      </c>
      <c r="J31" s="2">
        <v>47.0</v>
      </c>
      <c r="K31" s="2">
        <v>0.0</v>
      </c>
      <c r="L31" s="2">
        <v>0.0</v>
      </c>
      <c r="M31" s="2">
        <v>0.0</v>
      </c>
      <c r="N31" s="2">
        <v>0.0</v>
      </c>
      <c r="O31" s="2" t="s">
        <v>33</v>
      </c>
      <c r="P31" s="2">
        <v>64.8</v>
      </c>
      <c r="Q31" s="2">
        <v>0.0012</v>
      </c>
    </row>
    <row r="32">
      <c r="A32" s="2">
        <v>8.132601599E9</v>
      </c>
      <c r="B32" s="2" t="str">
        <f t="array" ref="B32">INDEX(Sheet2!B:B, MATCH(A32, Sheet2!A:A, 0))
</f>
        <v>Ralstonia insidiosa 130770013-1</v>
      </c>
      <c r="C32" s="2" t="s">
        <v>89</v>
      </c>
      <c r="D32" s="2" t="s">
        <v>90</v>
      </c>
      <c r="E32" s="2" t="s">
        <v>20</v>
      </c>
      <c r="F32" s="2" t="s">
        <v>63</v>
      </c>
      <c r="G32" s="2">
        <v>719.0</v>
      </c>
      <c r="H32" s="2">
        <v>21675.0</v>
      </c>
      <c r="I32" s="2">
        <v>20957.0</v>
      </c>
      <c r="J32" s="2">
        <v>19.0</v>
      </c>
      <c r="K32" s="2">
        <v>0.0</v>
      </c>
      <c r="L32" s="2">
        <v>0.0</v>
      </c>
      <c r="M32" s="2">
        <v>0.0</v>
      </c>
      <c r="N32" s="2">
        <v>0.0</v>
      </c>
      <c r="O32" s="2" t="s">
        <v>33</v>
      </c>
      <c r="P32" s="2">
        <v>63.92</v>
      </c>
      <c r="Q32" s="2">
        <v>9.0E-4</v>
      </c>
    </row>
    <row r="33">
      <c r="A33" s="2">
        <v>8.132601599E9</v>
      </c>
      <c r="B33" s="2" t="str">
        <f t="array" ref="B33">INDEX(Sheet2!B:B, MATCH(A33, Sheet2!A:A, 0))
</f>
        <v>Ralstonia insidiosa 130770013-1</v>
      </c>
      <c r="C33" s="2" t="s">
        <v>91</v>
      </c>
      <c r="D33" s="2" t="s">
        <v>92</v>
      </c>
      <c r="E33" s="2" t="s">
        <v>20</v>
      </c>
      <c r="F33" s="2" t="s">
        <v>48</v>
      </c>
      <c r="G33" s="2">
        <v>685.0</v>
      </c>
      <c r="H33" s="2">
        <v>8770.0</v>
      </c>
      <c r="I33" s="2">
        <v>8086.0</v>
      </c>
      <c r="J33" s="2">
        <v>9.0</v>
      </c>
      <c r="K33" s="2">
        <v>0.0</v>
      </c>
      <c r="L33" s="2">
        <v>0.0</v>
      </c>
      <c r="M33" s="2">
        <v>0.0</v>
      </c>
      <c r="N33" s="2">
        <v>0.0</v>
      </c>
      <c r="O33" s="2" t="s">
        <v>22</v>
      </c>
      <c r="P33" s="2">
        <v>63.24</v>
      </c>
      <c r="Q33" s="2">
        <v>0.0011</v>
      </c>
    </row>
    <row r="34">
      <c r="A34" s="2">
        <v>8.132601599E9</v>
      </c>
      <c r="B34" s="2" t="str">
        <f t="array" ref="B34">INDEX(Sheet2!B:B, MATCH(A34, Sheet2!A:A, 0))
</f>
        <v>Ralstonia insidiosa 130770013-1</v>
      </c>
      <c r="C34" s="2" t="s">
        <v>93</v>
      </c>
      <c r="D34" s="2" t="s">
        <v>86</v>
      </c>
      <c r="E34" s="2" t="s">
        <v>20</v>
      </c>
      <c r="F34" s="2" t="s">
        <v>29</v>
      </c>
      <c r="G34" s="2">
        <v>118.0</v>
      </c>
      <c r="H34" s="2">
        <v>29701.0</v>
      </c>
      <c r="I34" s="2">
        <v>29584.0</v>
      </c>
      <c r="J34" s="2">
        <v>25.0</v>
      </c>
      <c r="K34" s="2">
        <v>0.0</v>
      </c>
      <c r="L34" s="2">
        <v>0.0</v>
      </c>
      <c r="M34" s="2">
        <v>0.0</v>
      </c>
      <c r="N34" s="2">
        <v>0.0</v>
      </c>
      <c r="O34" s="2" t="s">
        <v>33</v>
      </c>
      <c r="P34" s="2">
        <v>62.33</v>
      </c>
      <c r="Q34" s="2">
        <v>8.0E-4</v>
      </c>
    </row>
    <row r="35">
      <c r="A35" s="2">
        <v>8.132818425E9</v>
      </c>
      <c r="B35" s="2" t="str">
        <f t="array" ref="B35">INDEX(Sheet2!B:B, MATCH(A35, Sheet2!A:A, 0))
</f>
        <v>Ralstonia insidiosa 142550027-2</v>
      </c>
      <c r="C35" s="2" t="s">
        <v>94</v>
      </c>
      <c r="D35" s="2" t="s">
        <v>95</v>
      </c>
      <c r="E35" s="2" t="s">
        <v>20</v>
      </c>
      <c r="F35" s="2" t="s">
        <v>32</v>
      </c>
      <c r="G35" s="2">
        <v>171.0</v>
      </c>
      <c r="H35" s="2">
        <v>24544.0</v>
      </c>
      <c r="I35" s="2">
        <v>24374.0</v>
      </c>
      <c r="J35" s="2">
        <v>27.0</v>
      </c>
      <c r="K35" s="2">
        <v>0.0</v>
      </c>
      <c r="L35" s="2">
        <v>0.0</v>
      </c>
      <c r="M35" s="2">
        <v>0.0</v>
      </c>
      <c r="N35" s="2">
        <v>0.0</v>
      </c>
      <c r="O35" s="2" t="s">
        <v>22</v>
      </c>
      <c r="P35" s="2">
        <v>65.21</v>
      </c>
      <c r="Q35" s="2">
        <v>0.0011</v>
      </c>
    </row>
    <row r="36">
      <c r="A36" s="2">
        <v>8.132818425E9</v>
      </c>
      <c r="B36" s="2" t="str">
        <f t="array" ref="B36">INDEX(Sheet2!B:B, MATCH(A36, Sheet2!A:A, 0))
</f>
        <v>Ralstonia insidiosa 142550027-2</v>
      </c>
      <c r="C36" s="2" t="s">
        <v>96</v>
      </c>
      <c r="D36" s="2" t="s">
        <v>97</v>
      </c>
      <c r="E36" s="2" t="s">
        <v>20</v>
      </c>
      <c r="F36" s="2" t="s">
        <v>29</v>
      </c>
      <c r="G36" s="2">
        <v>187.0</v>
      </c>
      <c r="H36" s="2">
        <v>29770.0</v>
      </c>
      <c r="I36" s="2">
        <v>29584.0</v>
      </c>
      <c r="J36" s="2">
        <v>25.0</v>
      </c>
      <c r="K36" s="2">
        <v>0.0</v>
      </c>
      <c r="L36" s="2">
        <v>0.0</v>
      </c>
      <c r="M36" s="2">
        <v>0.0</v>
      </c>
      <c r="N36" s="2">
        <v>0.0</v>
      </c>
      <c r="O36" s="2" t="s">
        <v>22</v>
      </c>
      <c r="P36" s="2">
        <v>62.33</v>
      </c>
      <c r="Q36" s="2">
        <v>8.0E-4</v>
      </c>
    </row>
    <row r="37">
      <c r="A37" s="2">
        <v>8.132818425E9</v>
      </c>
      <c r="B37" s="2" t="str">
        <f t="array" ref="B37">INDEX(Sheet2!B:B, MATCH(A37, Sheet2!A:A, 0))
</f>
        <v>Ralstonia insidiosa 142550027-2</v>
      </c>
      <c r="C37" s="2" t="s">
        <v>98</v>
      </c>
      <c r="D37" s="2" t="s">
        <v>97</v>
      </c>
      <c r="E37" s="2" t="s">
        <v>20</v>
      </c>
      <c r="F37" s="2" t="s">
        <v>36</v>
      </c>
      <c r="G37" s="2">
        <v>1536.0</v>
      </c>
      <c r="H37" s="2">
        <v>20075.0</v>
      </c>
      <c r="I37" s="2">
        <v>18540.0</v>
      </c>
      <c r="J37" s="2">
        <v>14.0</v>
      </c>
      <c r="K37" s="2">
        <v>0.0</v>
      </c>
      <c r="L37" s="2">
        <v>0.0</v>
      </c>
      <c r="M37" s="2">
        <v>0.0</v>
      </c>
      <c r="N37" s="2">
        <v>0.0</v>
      </c>
      <c r="O37" s="2" t="s">
        <v>22</v>
      </c>
      <c r="P37" s="2">
        <v>63.42</v>
      </c>
      <c r="Q37" s="2">
        <v>8.0E-4</v>
      </c>
    </row>
    <row r="38">
      <c r="A38" s="2">
        <v>8.132818425E9</v>
      </c>
      <c r="B38" s="2" t="str">
        <f t="array" ref="B38">INDEX(Sheet2!B:B, MATCH(A38, Sheet2!A:A, 0))
</f>
        <v>Ralstonia insidiosa 142550027-2</v>
      </c>
      <c r="C38" s="2" t="s">
        <v>99</v>
      </c>
      <c r="D38" s="2" t="s">
        <v>100</v>
      </c>
      <c r="E38" s="2" t="s">
        <v>20</v>
      </c>
      <c r="F38" s="2" t="s">
        <v>48</v>
      </c>
      <c r="G38" s="2">
        <v>685.0</v>
      </c>
      <c r="H38" s="2">
        <v>8770.0</v>
      </c>
      <c r="I38" s="2">
        <v>8086.0</v>
      </c>
      <c r="J38" s="2">
        <v>9.0</v>
      </c>
      <c r="K38" s="2">
        <v>0.0</v>
      </c>
      <c r="L38" s="2">
        <v>0.0</v>
      </c>
      <c r="M38" s="2">
        <v>0.0</v>
      </c>
      <c r="N38" s="2">
        <v>0.0</v>
      </c>
      <c r="O38" s="2" t="s">
        <v>22</v>
      </c>
      <c r="P38" s="2">
        <v>63.24</v>
      </c>
      <c r="Q38" s="2">
        <v>0.0011</v>
      </c>
    </row>
    <row r="39">
      <c r="A39" s="2">
        <v>8.132818425E9</v>
      </c>
      <c r="B39" s="2" t="str">
        <f t="array" ref="B39">INDEX(Sheet2!B:B, MATCH(A39, Sheet2!A:A, 0))
</f>
        <v>Ralstonia insidiosa 142550027-2</v>
      </c>
      <c r="C39" s="2" t="s">
        <v>101</v>
      </c>
      <c r="D39" s="2" t="s">
        <v>102</v>
      </c>
      <c r="E39" s="2" t="s">
        <v>20</v>
      </c>
      <c r="F39" s="2" t="s">
        <v>58</v>
      </c>
      <c r="G39" s="2">
        <v>1221.0</v>
      </c>
      <c r="H39" s="2">
        <v>12667.0</v>
      </c>
      <c r="I39" s="2">
        <v>11447.0</v>
      </c>
      <c r="J39" s="2">
        <v>11.0</v>
      </c>
      <c r="K39" s="2">
        <v>0.0</v>
      </c>
      <c r="L39" s="2">
        <v>0.0</v>
      </c>
      <c r="M39" s="2">
        <v>0.0</v>
      </c>
      <c r="N39" s="2">
        <v>0.0</v>
      </c>
      <c r="O39" s="2" t="s">
        <v>22</v>
      </c>
      <c r="P39" s="2">
        <v>65.12</v>
      </c>
      <c r="Q39" s="2">
        <v>0.001</v>
      </c>
    </row>
    <row r="40">
      <c r="A40" s="2">
        <v>8.132818425E9</v>
      </c>
      <c r="B40" s="2" t="str">
        <f t="array" ref="B40">INDEX(Sheet2!B:B, MATCH(A40, Sheet2!A:A, 0))
</f>
        <v>Ralstonia insidiosa 142550027-2</v>
      </c>
      <c r="C40" s="2" t="s">
        <v>103</v>
      </c>
      <c r="D40" s="2" t="s">
        <v>104</v>
      </c>
      <c r="E40" s="2" t="s">
        <v>20</v>
      </c>
      <c r="F40" s="2" t="s">
        <v>51</v>
      </c>
      <c r="G40" s="2">
        <v>491.0</v>
      </c>
      <c r="H40" s="2">
        <v>46884.0</v>
      </c>
      <c r="I40" s="2">
        <v>46394.0</v>
      </c>
      <c r="J40" s="2">
        <v>56.0</v>
      </c>
      <c r="K40" s="2">
        <v>0.0</v>
      </c>
      <c r="L40" s="2">
        <v>0.0</v>
      </c>
      <c r="M40" s="2">
        <v>0.0</v>
      </c>
      <c r="N40" s="2">
        <v>0.0</v>
      </c>
      <c r="O40" s="2" t="s">
        <v>33</v>
      </c>
      <c r="P40" s="2">
        <v>61.27</v>
      </c>
      <c r="Q40" s="2">
        <v>0.0012</v>
      </c>
    </row>
    <row r="41">
      <c r="A41" s="2">
        <v>8.132818425E9</v>
      </c>
      <c r="B41" s="2" t="str">
        <f t="array" ref="B41">INDEX(Sheet2!B:B, MATCH(A41, Sheet2!A:A, 0))
</f>
        <v>Ralstonia insidiosa 142550027-2</v>
      </c>
      <c r="C41" s="2" t="s">
        <v>105</v>
      </c>
      <c r="D41" s="2" t="s">
        <v>106</v>
      </c>
      <c r="E41" s="2" t="s">
        <v>20</v>
      </c>
      <c r="F41" s="2" t="s">
        <v>63</v>
      </c>
      <c r="G41" s="2">
        <v>446.0</v>
      </c>
      <c r="H41" s="2">
        <v>21402.0</v>
      </c>
      <c r="I41" s="2">
        <v>20957.0</v>
      </c>
      <c r="J41" s="2">
        <v>19.0</v>
      </c>
      <c r="K41" s="2">
        <v>0.0</v>
      </c>
      <c r="L41" s="2">
        <v>0.0</v>
      </c>
      <c r="M41" s="2">
        <v>0.0</v>
      </c>
      <c r="N41" s="2">
        <v>0.0</v>
      </c>
      <c r="O41" s="2" t="s">
        <v>22</v>
      </c>
      <c r="P41" s="2">
        <v>63.92</v>
      </c>
      <c r="Q41" s="2">
        <v>9.0E-4</v>
      </c>
    </row>
    <row r="42">
      <c r="A42" s="2">
        <v>8.132818425E9</v>
      </c>
      <c r="B42" s="2" t="str">
        <f t="array" ref="B42">INDEX(Sheet2!B:B, MATCH(A42, Sheet2!A:A, 0))
</f>
        <v>Ralstonia insidiosa 142550027-2</v>
      </c>
      <c r="C42" s="2" t="s">
        <v>107</v>
      </c>
      <c r="D42" s="2" t="s">
        <v>108</v>
      </c>
      <c r="E42" s="2" t="s">
        <v>20</v>
      </c>
      <c r="F42" s="2" t="s">
        <v>55</v>
      </c>
      <c r="G42" s="2">
        <v>378.0</v>
      </c>
      <c r="H42" s="2">
        <v>40853.0</v>
      </c>
      <c r="I42" s="2">
        <v>40476.0</v>
      </c>
      <c r="J42" s="2">
        <v>47.0</v>
      </c>
      <c r="K42" s="2">
        <v>0.0</v>
      </c>
      <c r="L42" s="2">
        <v>0.0</v>
      </c>
      <c r="M42" s="2">
        <v>0.0</v>
      </c>
      <c r="N42" s="2">
        <v>0.0</v>
      </c>
      <c r="O42" s="2" t="s">
        <v>22</v>
      </c>
      <c r="P42" s="2">
        <v>64.8</v>
      </c>
      <c r="Q42" s="2">
        <v>0.0012</v>
      </c>
    </row>
    <row r="43">
      <c r="A43" s="2">
        <v>8.132824355E9</v>
      </c>
      <c r="B43" s="2" t="str">
        <f t="array" ref="B43">INDEX(Sheet2!B:B, MATCH(A43, Sheet2!A:A, 0))
</f>
        <v>Ralstonia insidiosa 142550021-1</v>
      </c>
      <c r="C43" s="2" t="s">
        <v>109</v>
      </c>
      <c r="D43" s="2" t="s">
        <v>110</v>
      </c>
      <c r="E43" s="2" t="s">
        <v>20</v>
      </c>
      <c r="F43" s="2" t="s">
        <v>48</v>
      </c>
      <c r="G43" s="2">
        <v>1939.0</v>
      </c>
      <c r="H43" s="2">
        <v>10024.0</v>
      </c>
      <c r="I43" s="2">
        <v>8086.0</v>
      </c>
      <c r="J43" s="2">
        <v>9.0</v>
      </c>
      <c r="K43" s="2">
        <v>0.0</v>
      </c>
      <c r="L43" s="2">
        <v>0.0</v>
      </c>
      <c r="M43" s="2">
        <v>0.0</v>
      </c>
      <c r="N43" s="2">
        <v>0.0</v>
      </c>
      <c r="O43" s="2" t="s">
        <v>33</v>
      </c>
      <c r="P43" s="2">
        <v>63.24</v>
      </c>
      <c r="Q43" s="2">
        <v>0.0011</v>
      </c>
    </row>
    <row r="44">
      <c r="A44" s="2">
        <v>8.132824355E9</v>
      </c>
      <c r="B44" s="2" t="str">
        <f t="array" ref="B44">INDEX(Sheet2!B:B, MATCH(A44, Sheet2!A:A, 0))
</f>
        <v>Ralstonia insidiosa 142550021-1</v>
      </c>
      <c r="C44" s="2" t="s">
        <v>111</v>
      </c>
      <c r="D44" s="2" t="s">
        <v>112</v>
      </c>
      <c r="E44" s="2" t="s">
        <v>20</v>
      </c>
      <c r="F44" s="2" t="s">
        <v>29</v>
      </c>
      <c r="G44" s="2">
        <v>187.0</v>
      </c>
      <c r="H44" s="2">
        <v>29770.0</v>
      </c>
      <c r="I44" s="2">
        <v>29584.0</v>
      </c>
      <c r="J44" s="2">
        <v>25.0</v>
      </c>
      <c r="K44" s="2">
        <v>0.0</v>
      </c>
      <c r="L44" s="2">
        <v>0.0</v>
      </c>
      <c r="M44" s="2">
        <v>0.0</v>
      </c>
      <c r="N44" s="2">
        <v>0.0</v>
      </c>
      <c r="O44" s="2" t="s">
        <v>22</v>
      </c>
      <c r="P44" s="2">
        <v>62.33</v>
      </c>
      <c r="Q44" s="2">
        <v>8.0E-4</v>
      </c>
    </row>
    <row r="45">
      <c r="A45" s="2">
        <v>8.132824355E9</v>
      </c>
      <c r="B45" s="2" t="str">
        <f t="array" ref="B45">INDEX(Sheet2!B:B, MATCH(A45, Sheet2!A:A, 0))
</f>
        <v>Ralstonia insidiosa 142550021-1</v>
      </c>
      <c r="C45" s="2" t="s">
        <v>113</v>
      </c>
      <c r="D45" s="2" t="s">
        <v>112</v>
      </c>
      <c r="E45" s="2" t="s">
        <v>20</v>
      </c>
      <c r="F45" s="2" t="s">
        <v>36</v>
      </c>
      <c r="G45" s="2">
        <v>1536.0</v>
      </c>
      <c r="H45" s="2">
        <v>20075.0</v>
      </c>
      <c r="I45" s="2">
        <v>18540.0</v>
      </c>
      <c r="J45" s="2">
        <v>14.0</v>
      </c>
      <c r="K45" s="2">
        <v>0.0</v>
      </c>
      <c r="L45" s="2">
        <v>0.0</v>
      </c>
      <c r="M45" s="2">
        <v>0.0</v>
      </c>
      <c r="N45" s="2">
        <v>0.0</v>
      </c>
      <c r="O45" s="2" t="s">
        <v>22</v>
      </c>
      <c r="P45" s="2">
        <v>63.42</v>
      </c>
      <c r="Q45" s="2">
        <v>8.0E-4</v>
      </c>
    </row>
    <row r="46">
      <c r="A46" s="2">
        <v>8.132824355E9</v>
      </c>
      <c r="B46" s="2" t="str">
        <f t="array" ref="B46">INDEX(Sheet2!B:B, MATCH(A46, Sheet2!A:A, 0))
</f>
        <v>Ralstonia insidiosa 142550021-1</v>
      </c>
      <c r="C46" s="2" t="s">
        <v>114</v>
      </c>
      <c r="D46" s="2" t="s">
        <v>115</v>
      </c>
      <c r="E46" s="2" t="s">
        <v>20</v>
      </c>
      <c r="F46" s="2" t="s">
        <v>32</v>
      </c>
      <c r="G46" s="2">
        <v>171.0</v>
      </c>
      <c r="H46" s="2">
        <v>24544.0</v>
      </c>
      <c r="I46" s="2">
        <v>24374.0</v>
      </c>
      <c r="J46" s="2">
        <v>27.0</v>
      </c>
      <c r="K46" s="2">
        <v>0.0</v>
      </c>
      <c r="L46" s="2">
        <v>0.0</v>
      </c>
      <c r="M46" s="2">
        <v>0.0</v>
      </c>
      <c r="N46" s="2">
        <v>0.0</v>
      </c>
      <c r="O46" s="2" t="s">
        <v>22</v>
      </c>
      <c r="P46" s="2">
        <v>65.21</v>
      </c>
      <c r="Q46" s="2">
        <v>0.0011</v>
      </c>
    </row>
    <row r="47">
      <c r="A47" s="2">
        <v>8.132824355E9</v>
      </c>
      <c r="B47" s="2" t="str">
        <f t="array" ref="B47">INDEX(Sheet2!B:B, MATCH(A47, Sheet2!A:A, 0))
</f>
        <v>Ralstonia insidiosa 142550021-1</v>
      </c>
      <c r="C47" s="2" t="s">
        <v>116</v>
      </c>
      <c r="D47" s="2" t="s">
        <v>117</v>
      </c>
      <c r="E47" s="2" t="s">
        <v>20</v>
      </c>
      <c r="F47" s="2" t="s">
        <v>58</v>
      </c>
      <c r="G47" s="2">
        <v>220.0</v>
      </c>
      <c r="H47" s="2">
        <v>11666.0</v>
      </c>
      <c r="I47" s="2">
        <v>11447.0</v>
      </c>
      <c r="J47" s="2">
        <v>11.0</v>
      </c>
      <c r="K47" s="2">
        <v>0.0</v>
      </c>
      <c r="L47" s="2">
        <v>0.0</v>
      </c>
      <c r="M47" s="2">
        <v>0.0</v>
      </c>
      <c r="N47" s="2">
        <v>0.0</v>
      </c>
      <c r="O47" s="2" t="s">
        <v>33</v>
      </c>
      <c r="P47" s="2">
        <v>65.12</v>
      </c>
      <c r="Q47" s="2">
        <v>0.001</v>
      </c>
    </row>
    <row r="48">
      <c r="A48" s="2">
        <v>8.132824355E9</v>
      </c>
      <c r="B48" s="2" t="str">
        <f t="array" ref="B48">INDEX(Sheet2!B:B, MATCH(A48, Sheet2!A:A, 0))
</f>
        <v>Ralstonia insidiosa 142550021-1</v>
      </c>
      <c r="C48" s="2" t="s">
        <v>118</v>
      </c>
      <c r="D48" s="2" t="s">
        <v>119</v>
      </c>
      <c r="E48" s="2" t="s">
        <v>20</v>
      </c>
      <c r="F48" s="2" t="s">
        <v>51</v>
      </c>
      <c r="G48" s="2">
        <v>746.0</v>
      </c>
      <c r="H48" s="2">
        <v>47139.0</v>
      </c>
      <c r="I48" s="2">
        <v>46394.0</v>
      </c>
      <c r="J48" s="2">
        <v>56.0</v>
      </c>
      <c r="K48" s="2">
        <v>0.0</v>
      </c>
      <c r="L48" s="2">
        <v>0.0</v>
      </c>
      <c r="M48" s="2">
        <v>0.0</v>
      </c>
      <c r="N48" s="2">
        <v>0.0</v>
      </c>
      <c r="O48" s="2" t="s">
        <v>22</v>
      </c>
      <c r="P48" s="2">
        <v>61.27</v>
      </c>
      <c r="Q48" s="2">
        <v>0.0012</v>
      </c>
    </row>
    <row r="49">
      <c r="A49" s="2">
        <v>8.132824355E9</v>
      </c>
      <c r="B49" s="2" t="str">
        <f t="array" ref="B49">INDEX(Sheet2!B:B, MATCH(A49, Sheet2!A:A, 0))
</f>
        <v>Ralstonia insidiosa 142550021-1</v>
      </c>
      <c r="C49" s="2" t="s">
        <v>120</v>
      </c>
      <c r="D49" s="2" t="s">
        <v>121</v>
      </c>
      <c r="E49" s="2" t="s">
        <v>20</v>
      </c>
      <c r="F49" s="2" t="s">
        <v>63</v>
      </c>
      <c r="G49" s="2">
        <v>446.0</v>
      </c>
      <c r="H49" s="2">
        <v>21402.0</v>
      </c>
      <c r="I49" s="2">
        <v>20957.0</v>
      </c>
      <c r="J49" s="2">
        <v>19.0</v>
      </c>
      <c r="K49" s="2">
        <v>0.0</v>
      </c>
      <c r="L49" s="2">
        <v>0.0</v>
      </c>
      <c r="M49" s="2">
        <v>0.0</v>
      </c>
      <c r="N49" s="2">
        <v>0.0</v>
      </c>
      <c r="O49" s="2" t="s">
        <v>22</v>
      </c>
      <c r="P49" s="2">
        <v>63.92</v>
      </c>
      <c r="Q49" s="2">
        <v>9.0E-4</v>
      </c>
    </row>
    <row r="50">
      <c r="A50" s="2">
        <v>8.132824355E9</v>
      </c>
      <c r="B50" s="2" t="str">
        <f t="array" ref="B50">INDEX(Sheet2!B:B, MATCH(A50, Sheet2!A:A, 0))
</f>
        <v>Ralstonia insidiosa 142550021-1</v>
      </c>
      <c r="C50" s="2" t="s">
        <v>122</v>
      </c>
      <c r="D50" s="2" t="s">
        <v>123</v>
      </c>
      <c r="E50" s="2" t="s">
        <v>20</v>
      </c>
      <c r="F50" s="2" t="s">
        <v>55</v>
      </c>
      <c r="G50" s="2">
        <v>378.0</v>
      </c>
      <c r="H50" s="2">
        <v>40853.0</v>
      </c>
      <c r="I50" s="2">
        <v>40476.0</v>
      </c>
      <c r="J50" s="2">
        <v>47.0</v>
      </c>
      <c r="K50" s="2">
        <v>0.0</v>
      </c>
      <c r="L50" s="2">
        <v>0.0</v>
      </c>
      <c r="M50" s="2">
        <v>0.0</v>
      </c>
      <c r="N50" s="2">
        <v>0.0</v>
      </c>
      <c r="O50" s="2" t="s">
        <v>22</v>
      </c>
      <c r="P50" s="2">
        <v>64.8</v>
      </c>
      <c r="Q50" s="2">
        <v>0.0012</v>
      </c>
    </row>
    <row r="51">
      <c r="A51" s="2">
        <v>8.133341747E9</v>
      </c>
      <c r="B51" s="2" t="str">
        <f t="array" ref="B51">INDEX(Sheet2!B:B, MATCH(A51, Sheet2!A:A, 0))
</f>
        <v>Streptococcus sp. 151470009-6</v>
      </c>
      <c r="C51" s="2" t="s">
        <v>124</v>
      </c>
      <c r="D51" s="2" t="s">
        <v>125</v>
      </c>
      <c r="E51" s="2" t="s">
        <v>20</v>
      </c>
      <c r="F51" s="2" t="s">
        <v>27</v>
      </c>
      <c r="G51" s="2">
        <v>923.0</v>
      </c>
      <c r="H51" s="2">
        <v>39403.0</v>
      </c>
      <c r="I51" s="2">
        <v>38481.0</v>
      </c>
      <c r="J51" s="2">
        <v>36.0</v>
      </c>
      <c r="K51" s="2">
        <v>0.0</v>
      </c>
      <c r="L51" s="2">
        <v>0.0</v>
      </c>
      <c r="M51" s="2">
        <v>0.0</v>
      </c>
      <c r="N51" s="2">
        <v>0.0</v>
      </c>
      <c r="O51" s="2" t="s">
        <v>22</v>
      </c>
      <c r="P51" s="2">
        <v>42.52</v>
      </c>
      <c r="Q51" s="2">
        <v>9.0E-4</v>
      </c>
    </row>
    <row r="52">
      <c r="A52" s="2">
        <v>8.133476785E9</v>
      </c>
      <c r="B52" s="2" t="str">
        <f t="array" ref="B52">INDEX(Sheet2!B:B, MATCH(A52, Sheet2!A:A, 0))
</f>
        <v>Sphingomonas lutea F9_3S_D5_B_2</v>
      </c>
      <c r="C52" s="2" t="s">
        <v>126</v>
      </c>
      <c r="D52" s="2" t="s">
        <v>127</v>
      </c>
      <c r="E52" s="2" t="s">
        <v>20</v>
      </c>
      <c r="F52" s="2" t="s">
        <v>27</v>
      </c>
      <c r="G52" s="2">
        <v>568.0</v>
      </c>
      <c r="H52" s="2">
        <v>40462.0</v>
      </c>
      <c r="I52" s="2">
        <v>39895.0</v>
      </c>
      <c r="J52" s="2">
        <v>43.0</v>
      </c>
      <c r="K52" s="2">
        <v>0.0</v>
      </c>
      <c r="L52" s="2">
        <v>0.0</v>
      </c>
      <c r="M52" s="2">
        <v>0.0</v>
      </c>
      <c r="N52" s="2">
        <v>0.0</v>
      </c>
      <c r="O52" s="2" t="s">
        <v>33</v>
      </c>
      <c r="P52" s="2">
        <v>65.9</v>
      </c>
      <c r="Q52" s="2">
        <v>0.0011</v>
      </c>
    </row>
    <row r="53">
      <c r="A53" s="2">
        <v>8.133623617E9</v>
      </c>
      <c r="B53" s="2" t="str">
        <f t="array" ref="B53">INDEX(Sheet2!B:B, MATCH(A53, Sheet2!A:A, 0))
</f>
        <v>Ralstonia insidiosa 151470044-1</v>
      </c>
      <c r="C53" s="2" t="s">
        <v>128</v>
      </c>
      <c r="D53" s="2" t="s">
        <v>129</v>
      </c>
      <c r="E53" s="2" t="s">
        <v>20</v>
      </c>
      <c r="F53" s="2" t="s">
        <v>32</v>
      </c>
      <c r="G53" s="2">
        <v>457.0</v>
      </c>
      <c r="H53" s="2">
        <v>24830.0</v>
      </c>
      <c r="I53" s="2">
        <v>24374.0</v>
      </c>
      <c r="J53" s="2">
        <v>27.0</v>
      </c>
      <c r="K53" s="2">
        <v>0.0</v>
      </c>
      <c r="L53" s="2">
        <v>0.0</v>
      </c>
      <c r="M53" s="2">
        <v>0.0</v>
      </c>
      <c r="N53" s="2">
        <v>0.0</v>
      </c>
      <c r="O53" s="2" t="s">
        <v>33</v>
      </c>
      <c r="P53" s="2">
        <v>65.21</v>
      </c>
      <c r="Q53" s="2">
        <v>0.0011</v>
      </c>
    </row>
    <row r="54">
      <c r="A54" s="2">
        <v>8.133623617E9</v>
      </c>
      <c r="B54" s="2" t="str">
        <f t="array" ref="B54">INDEX(Sheet2!B:B, MATCH(A54, Sheet2!A:A, 0))
</f>
        <v>Ralstonia insidiosa 151470044-1</v>
      </c>
      <c r="C54" s="2" t="s">
        <v>130</v>
      </c>
      <c r="D54" s="2" t="s">
        <v>131</v>
      </c>
      <c r="E54" s="2" t="s">
        <v>20</v>
      </c>
      <c r="F54" s="2" t="s">
        <v>29</v>
      </c>
      <c r="G54" s="2">
        <v>187.0</v>
      </c>
      <c r="H54" s="2">
        <v>29770.0</v>
      </c>
      <c r="I54" s="2">
        <v>29584.0</v>
      </c>
      <c r="J54" s="2">
        <v>25.0</v>
      </c>
      <c r="K54" s="2">
        <v>0.0</v>
      </c>
      <c r="L54" s="2">
        <v>0.0</v>
      </c>
      <c r="M54" s="2">
        <v>0.0</v>
      </c>
      <c r="N54" s="2">
        <v>0.0</v>
      </c>
      <c r="O54" s="2" t="s">
        <v>22</v>
      </c>
      <c r="P54" s="2">
        <v>62.33</v>
      </c>
      <c r="Q54" s="2">
        <v>8.0E-4</v>
      </c>
    </row>
    <row r="55">
      <c r="A55" s="2">
        <v>8.133623617E9</v>
      </c>
      <c r="B55" s="2" t="str">
        <f t="array" ref="B55">INDEX(Sheet2!B:B, MATCH(A55, Sheet2!A:A, 0))
</f>
        <v>Ralstonia insidiosa 151470044-1</v>
      </c>
      <c r="C55" s="2" t="s">
        <v>132</v>
      </c>
      <c r="D55" s="2" t="s">
        <v>131</v>
      </c>
      <c r="E55" s="2" t="s">
        <v>20</v>
      </c>
      <c r="F55" s="2" t="s">
        <v>36</v>
      </c>
      <c r="G55" s="2">
        <v>1536.0</v>
      </c>
      <c r="H55" s="2">
        <v>20075.0</v>
      </c>
      <c r="I55" s="2">
        <v>18540.0</v>
      </c>
      <c r="J55" s="2">
        <v>14.0</v>
      </c>
      <c r="K55" s="2">
        <v>0.0</v>
      </c>
      <c r="L55" s="2">
        <v>0.0</v>
      </c>
      <c r="M55" s="2">
        <v>0.0</v>
      </c>
      <c r="N55" s="2">
        <v>0.0</v>
      </c>
      <c r="O55" s="2" t="s">
        <v>22</v>
      </c>
      <c r="P55" s="2">
        <v>63.42</v>
      </c>
      <c r="Q55" s="2">
        <v>8.0E-4</v>
      </c>
    </row>
    <row r="56">
      <c r="A56" s="2">
        <v>8.133623617E9</v>
      </c>
      <c r="B56" s="2" t="str">
        <f t="array" ref="B56">INDEX(Sheet2!B:B, MATCH(A56, Sheet2!A:A, 0))
</f>
        <v>Ralstonia insidiosa 151470044-1</v>
      </c>
      <c r="C56" s="2" t="s">
        <v>133</v>
      </c>
      <c r="D56" s="2" t="s">
        <v>134</v>
      </c>
      <c r="E56" s="2" t="s">
        <v>20</v>
      </c>
      <c r="F56" s="2" t="s">
        <v>58</v>
      </c>
      <c r="G56" s="2">
        <v>1221.0</v>
      </c>
      <c r="H56" s="2">
        <v>12667.0</v>
      </c>
      <c r="I56" s="2">
        <v>11447.0</v>
      </c>
      <c r="J56" s="2">
        <v>11.0</v>
      </c>
      <c r="K56" s="2">
        <v>0.0</v>
      </c>
      <c r="L56" s="2">
        <v>0.0</v>
      </c>
      <c r="M56" s="2">
        <v>0.0</v>
      </c>
      <c r="N56" s="2">
        <v>0.0</v>
      </c>
      <c r="O56" s="2" t="s">
        <v>22</v>
      </c>
      <c r="P56" s="2">
        <v>65.12</v>
      </c>
      <c r="Q56" s="2">
        <v>0.001</v>
      </c>
    </row>
    <row r="57">
      <c r="A57" s="2">
        <v>8.133623617E9</v>
      </c>
      <c r="B57" s="2" t="str">
        <f t="array" ref="B57">INDEX(Sheet2!B:B, MATCH(A57, Sheet2!A:A, 0))
</f>
        <v>Ralstonia insidiosa 151470044-1</v>
      </c>
      <c r="C57" s="2" t="s">
        <v>135</v>
      </c>
      <c r="D57" s="2" t="s">
        <v>136</v>
      </c>
      <c r="E57" s="2" t="s">
        <v>20</v>
      </c>
      <c r="F57" s="2" t="s">
        <v>55</v>
      </c>
      <c r="G57" s="2">
        <v>378.0</v>
      </c>
      <c r="H57" s="2">
        <v>40853.0</v>
      </c>
      <c r="I57" s="2">
        <v>40476.0</v>
      </c>
      <c r="J57" s="2">
        <v>47.0</v>
      </c>
      <c r="K57" s="2">
        <v>0.0</v>
      </c>
      <c r="L57" s="2">
        <v>0.0</v>
      </c>
      <c r="M57" s="2">
        <v>0.0</v>
      </c>
      <c r="N57" s="2">
        <v>0.0</v>
      </c>
      <c r="O57" s="2" t="s">
        <v>22</v>
      </c>
      <c r="P57" s="2">
        <v>64.8</v>
      </c>
      <c r="Q57" s="2">
        <v>0.0012</v>
      </c>
    </row>
    <row r="58">
      <c r="A58" s="2">
        <v>8.133623617E9</v>
      </c>
      <c r="B58" s="2" t="str">
        <f t="array" ref="B58">INDEX(Sheet2!B:B, MATCH(A58, Sheet2!A:A, 0))
</f>
        <v>Ralstonia insidiosa 151470044-1</v>
      </c>
      <c r="C58" s="2" t="s">
        <v>137</v>
      </c>
      <c r="D58" s="2" t="s">
        <v>138</v>
      </c>
      <c r="E58" s="2" t="s">
        <v>20</v>
      </c>
      <c r="F58" s="2" t="s">
        <v>63</v>
      </c>
      <c r="G58" s="2">
        <v>719.0</v>
      </c>
      <c r="H58" s="2">
        <v>21675.0</v>
      </c>
      <c r="I58" s="2">
        <v>20957.0</v>
      </c>
      <c r="J58" s="2">
        <v>19.0</v>
      </c>
      <c r="K58" s="2">
        <v>0.0</v>
      </c>
      <c r="L58" s="2">
        <v>0.0</v>
      </c>
      <c r="M58" s="2">
        <v>0.0</v>
      </c>
      <c r="N58" s="2">
        <v>0.0</v>
      </c>
      <c r="O58" s="2" t="s">
        <v>33</v>
      </c>
      <c r="P58" s="2">
        <v>63.92</v>
      </c>
      <c r="Q58" s="2">
        <v>9.0E-4</v>
      </c>
    </row>
    <row r="59">
      <c r="A59" s="2">
        <v>8.133623617E9</v>
      </c>
      <c r="B59" s="2" t="str">
        <f t="array" ref="B59">INDEX(Sheet2!B:B, MATCH(A59, Sheet2!A:A, 0))
</f>
        <v>Ralstonia insidiosa 151470044-1</v>
      </c>
      <c r="C59" s="2" t="s">
        <v>139</v>
      </c>
      <c r="D59" s="2" t="s">
        <v>140</v>
      </c>
      <c r="E59" s="2" t="s">
        <v>20</v>
      </c>
      <c r="F59" s="2" t="s">
        <v>48</v>
      </c>
      <c r="G59" s="2">
        <v>1939.0</v>
      </c>
      <c r="H59" s="2">
        <v>10024.0</v>
      </c>
      <c r="I59" s="2">
        <v>8086.0</v>
      </c>
      <c r="J59" s="2">
        <v>9.0</v>
      </c>
      <c r="K59" s="2">
        <v>0.0</v>
      </c>
      <c r="L59" s="2">
        <v>0.0</v>
      </c>
      <c r="M59" s="2">
        <v>0.0</v>
      </c>
      <c r="N59" s="2">
        <v>0.0</v>
      </c>
      <c r="O59" s="2" t="s">
        <v>33</v>
      </c>
      <c r="P59" s="2">
        <v>63.24</v>
      </c>
      <c r="Q59" s="2">
        <v>0.0011</v>
      </c>
    </row>
    <row r="60">
      <c r="A60" s="2">
        <v>8.133623617E9</v>
      </c>
      <c r="B60" s="2" t="str">
        <f t="array" ref="B60">INDEX(Sheet2!B:B, MATCH(A60, Sheet2!A:A, 0))
</f>
        <v>Ralstonia insidiosa 151470044-1</v>
      </c>
      <c r="C60" s="2" t="s">
        <v>141</v>
      </c>
      <c r="D60" s="2" t="s">
        <v>142</v>
      </c>
      <c r="E60" s="2" t="s">
        <v>20</v>
      </c>
      <c r="F60" s="2" t="s">
        <v>51</v>
      </c>
      <c r="G60" s="2">
        <v>491.0</v>
      </c>
      <c r="H60" s="2">
        <v>46884.0</v>
      </c>
      <c r="I60" s="2">
        <v>46394.0</v>
      </c>
      <c r="J60" s="2">
        <v>56.0</v>
      </c>
      <c r="K60" s="2">
        <v>0.0</v>
      </c>
      <c r="L60" s="2">
        <v>0.0</v>
      </c>
      <c r="M60" s="2">
        <v>0.0</v>
      </c>
      <c r="N60" s="2">
        <v>0.0</v>
      </c>
      <c r="O60" s="2" t="s">
        <v>33</v>
      </c>
      <c r="P60" s="2">
        <v>61.27</v>
      </c>
      <c r="Q60" s="2">
        <v>0.0012</v>
      </c>
    </row>
    <row r="61">
      <c r="A61" s="2">
        <v>8.133629549E9</v>
      </c>
      <c r="B61" s="2" t="str">
        <f t="array" ref="B61">INDEX(Sheet2!B:B, MATCH(A61, Sheet2!A:A, 0))
</f>
        <v>Ralstonia insidiosa 151470066-1</v>
      </c>
      <c r="C61" s="2" t="s">
        <v>143</v>
      </c>
      <c r="D61" s="2" t="s">
        <v>144</v>
      </c>
      <c r="E61" s="2" t="s">
        <v>20</v>
      </c>
      <c r="F61" s="2" t="s">
        <v>58</v>
      </c>
      <c r="G61" s="2">
        <v>1221.0</v>
      </c>
      <c r="H61" s="2">
        <v>12667.0</v>
      </c>
      <c r="I61" s="2">
        <v>11447.0</v>
      </c>
      <c r="J61" s="2">
        <v>11.0</v>
      </c>
      <c r="K61" s="2">
        <v>0.0</v>
      </c>
      <c r="L61" s="2">
        <v>0.0</v>
      </c>
      <c r="M61" s="2">
        <v>0.0</v>
      </c>
      <c r="N61" s="2">
        <v>0.0</v>
      </c>
      <c r="O61" s="2" t="s">
        <v>22</v>
      </c>
      <c r="P61" s="2">
        <v>65.12</v>
      </c>
      <c r="Q61" s="2">
        <v>0.001</v>
      </c>
    </row>
    <row r="62">
      <c r="A62" s="2">
        <v>8.133629549E9</v>
      </c>
      <c r="B62" s="2" t="str">
        <f t="array" ref="B62">INDEX(Sheet2!B:B, MATCH(A62, Sheet2!A:A, 0))
</f>
        <v>Ralstonia insidiosa 151470066-1</v>
      </c>
      <c r="C62" s="2" t="s">
        <v>145</v>
      </c>
      <c r="D62" s="2" t="s">
        <v>146</v>
      </c>
      <c r="E62" s="2" t="s">
        <v>20</v>
      </c>
      <c r="F62" s="2" t="s">
        <v>36</v>
      </c>
      <c r="G62" s="2">
        <v>1536.0</v>
      </c>
      <c r="H62" s="2">
        <v>20075.0</v>
      </c>
      <c r="I62" s="2">
        <v>18540.0</v>
      </c>
      <c r="J62" s="2">
        <v>14.0</v>
      </c>
      <c r="K62" s="2">
        <v>0.0</v>
      </c>
      <c r="L62" s="2">
        <v>0.0</v>
      </c>
      <c r="M62" s="2">
        <v>0.0</v>
      </c>
      <c r="N62" s="2">
        <v>0.0</v>
      </c>
      <c r="O62" s="2" t="s">
        <v>22</v>
      </c>
      <c r="P62" s="2">
        <v>63.42</v>
      </c>
      <c r="Q62" s="2">
        <v>8.0E-4</v>
      </c>
    </row>
    <row r="63">
      <c r="A63" s="2">
        <v>8.133629549E9</v>
      </c>
      <c r="B63" s="2" t="str">
        <f t="array" ref="B63">INDEX(Sheet2!B:B, MATCH(A63, Sheet2!A:A, 0))
</f>
        <v>Ralstonia insidiosa 151470066-1</v>
      </c>
      <c r="C63" s="2" t="s">
        <v>147</v>
      </c>
      <c r="D63" s="2" t="s">
        <v>146</v>
      </c>
      <c r="E63" s="2" t="s">
        <v>20</v>
      </c>
      <c r="F63" s="2" t="s">
        <v>29</v>
      </c>
      <c r="G63" s="2">
        <v>187.0</v>
      </c>
      <c r="H63" s="2">
        <v>29770.0</v>
      </c>
      <c r="I63" s="2">
        <v>29584.0</v>
      </c>
      <c r="J63" s="2">
        <v>25.0</v>
      </c>
      <c r="K63" s="2">
        <v>0.0</v>
      </c>
      <c r="L63" s="2">
        <v>0.0</v>
      </c>
      <c r="M63" s="2">
        <v>0.0</v>
      </c>
      <c r="N63" s="2">
        <v>0.0</v>
      </c>
      <c r="O63" s="2" t="s">
        <v>22</v>
      </c>
      <c r="P63" s="2">
        <v>62.33</v>
      </c>
      <c r="Q63" s="2">
        <v>8.0E-4</v>
      </c>
    </row>
    <row r="64">
      <c r="A64" s="2">
        <v>8.133629549E9</v>
      </c>
      <c r="B64" s="2" t="str">
        <f t="array" ref="B64">INDEX(Sheet2!B:B, MATCH(A64, Sheet2!A:A, 0))
</f>
        <v>Ralstonia insidiosa 151470066-1</v>
      </c>
      <c r="C64" s="2" t="s">
        <v>148</v>
      </c>
      <c r="D64" s="2" t="s">
        <v>149</v>
      </c>
      <c r="E64" s="2" t="s">
        <v>20</v>
      </c>
      <c r="F64" s="2" t="s">
        <v>51</v>
      </c>
      <c r="G64" s="2">
        <v>491.0</v>
      </c>
      <c r="H64" s="2">
        <v>46884.0</v>
      </c>
      <c r="I64" s="2">
        <v>46394.0</v>
      </c>
      <c r="J64" s="2">
        <v>56.0</v>
      </c>
      <c r="K64" s="2">
        <v>0.0</v>
      </c>
      <c r="L64" s="2">
        <v>0.0</v>
      </c>
      <c r="M64" s="2">
        <v>0.0</v>
      </c>
      <c r="N64" s="2">
        <v>0.0</v>
      </c>
      <c r="O64" s="2" t="s">
        <v>33</v>
      </c>
      <c r="P64" s="2">
        <v>61.27</v>
      </c>
      <c r="Q64" s="2">
        <v>0.0012</v>
      </c>
    </row>
    <row r="65">
      <c r="A65" s="2">
        <v>8.133629549E9</v>
      </c>
      <c r="B65" s="2" t="str">
        <f t="array" ref="B65">INDEX(Sheet2!B:B, MATCH(A65, Sheet2!A:A, 0))
</f>
        <v>Ralstonia insidiosa 151470066-1</v>
      </c>
      <c r="C65" s="2" t="s">
        <v>150</v>
      </c>
      <c r="D65" s="2" t="s">
        <v>151</v>
      </c>
      <c r="E65" s="2" t="s">
        <v>20</v>
      </c>
      <c r="F65" s="2" t="s">
        <v>55</v>
      </c>
      <c r="G65" s="2">
        <v>378.0</v>
      </c>
      <c r="H65" s="2">
        <v>40853.0</v>
      </c>
      <c r="I65" s="2">
        <v>40476.0</v>
      </c>
      <c r="J65" s="2">
        <v>47.0</v>
      </c>
      <c r="K65" s="2">
        <v>0.0</v>
      </c>
      <c r="L65" s="2">
        <v>0.0</v>
      </c>
      <c r="M65" s="2">
        <v>0.0</v>
      </c>
      <c r="N65" s="2">
        <v>0.0</v>
      </c>
      <c r="O65" s="2" t="s">
        <v>22</v>
      </c>
      <c r="P65" s="2">
        <v>64.8</v>
      </c>
      <c r="Q65" s="2">
        <v>0.0012</v>
      </c>
    </row>
    <row r="66">
      <c r="A66" s="2">
        <v>8.133629549E9</v>
      </c>
      <c r="B66" s="2" t="str">
        <f t="array" ref="B66">INDEX(Sheet2!B:B, MATCH(A66, Sheet2!A:A, 0))
</f>
        <v>Ralstonia insidiosa 151470066-1</v>
      </c>
      <c r="C66" s="2" t="s">
        <v>152</v>
      </c>
      <c r="D66" s="2" t="s">
        <v>153</v>
      </c>
      <c r="E66" s="2" t="s">
        <v>20</v>
      </c>
      <c r="F66" s="2" t="s">
        <v>63</v>
      </c>
      <c r="G66" s="2">
        <v>719.0</v>
      </c>
      <c r="H66" s="2">
        <v>21675.0</v>
      </c>
      <c r="I66" s="2">
        <v>20957.0</v>
      </c>
      <c r="J66" s="2">
        <v>19.0</v>
      </c>
      <c r="K66" s="2">
        <v>0.0</v>
      </c>
      <c r="L66" s="2">
        <v>0.0</v>
      </c>
      <c r="M66" s="2">
        <v>0.0</v>
      </c>
      <c r="N66" s="2">
        <v>0.0</v>
      </c>
      <c r="O66" s="2" t="s">
        <v>33</v>
      </c>
      <c r="P66" s="2">
        <v>63.92</v>
      </c>
      <c r="Q66" s="2">
        <v>9.0E-4</v>
      </c>
    </row>
    <row r="67">
      <c r="A67" s="2">
        <v>8.133629549E9</v>
      </c>
      <c r="B67" s="2" t="str">
        <f t="array" ref="B67">INDEX(Sheet2!B:B, MATCH(A67, Sheet2!A:A, 0))
</f>
        <v>Ralstonia insidiosa 151470066-1</v>
      </c>
      <c r="C67" s="2" t="s">
        <v>154</v>
      </c>
      <c r="D67" s="2" t="s">
        <v>155</v>
      </c>
      <c r="E67" s="2" t="s">
        <v>20</v>
      </c>
      <c r="F67" s="2" t="s">
        <v>48</v>
      </c>
      <c r="G67" s="2">
        <v>685.0</v>
      </c>
      <c r="H67" s="2">
        <v>8770.0</v>
      </c>
      <c r="I67" s="2">
        <v>8086.0</v>
      </c>
      <c r="J67" s="2">
        <v>9.0</v>
      </c>
      <c r="K67" s="2">
        <v>0.0</v>
      </c>
      <c r="L67" s="2">
        <v>0.0</v>
      </c>
      <c r="M67" s="2">
        <v>0.0</v>
      </c>
      <c r="N67" s="2">
        <v>0.0</v>
      </c>
      <c r="O67" s="2" t="s">
        <v>22</v>
      </c>
      <c r="P67" s="2">
        <v>63.24</v>
      </c>
      <c r="Q67" s="2">
        <v>0.0011</v>
      </c>
    </row>
    <row r="68">
      <c r="A68" s="2">
        <v>8.133629549E9</v>
      </c>
      <c r="B68" s="2" t="str">
        <f t="array" ref="B68">INDEX(Sheet2!B:B, MATCH(A68, Sheet2!A:A, 0))
</f>
        <v>Ralstonia insidiosa 151470066-1</v>
      </c>
      <c r="C68" s="2" t="s">
        <v>156</v>
      </c>
      <c r="D68" s="2" t="s">
        <v>157</v>
      </c>
      <c r="E68" s="2" t="s">
        <v>20</v>
      </c>
      <c r="F68" s="2" t="s">
        <v>32</v>
      </c>
      <c r="G68" s="2">
        <v>457.0</v>
      </c>
      <c r="H68" s="2">
        <v>24830.0</v>
      </c>
      <c r="I68" s="2">
        <v>24374.0</v>
      </c>
      <c r="J68" s="2">
        <v>27.0</v>
      </c>
      <c r="K68" s="2">
        <v>0.0</v>
      </c>
      <c r="L68" s="2">
        <v>0.0</v>
      </c>
      <c r="M68" s="2">
        <v>0.0</v>
      </c>
      <c r="N68" s="2">
        <v>0.0</v>
      </c>
      <c r="O68" s="2" t="s">
        <v>33</v>
      </c>
      <c r="P68" s="2">
        <v>65.21</v>
      </c>
      <c r="Q68" s="2">
        <v>0.0011</v>
      </c>
    </row>
    <row r="69">
      <c r="A69" s="2">
        <v>8.13363548E9</v>
      </c>
      <c r="B69" s="2" t="str">
        <f t="array" ref="B69">INDEX(Sheet2!B:B, MATCH(A69, Sheet2!A:A, 0))
</f>
        <v>Ralstonia insidiosa 151470066-2</v>
      </c>
      <c r="C69" s="2" t="s">
        <v>158</v>
      </c>
      <c r="D69" s="2" t="s">
        <v>159</v>
      </c>
      <c r="E69" s="2" t="s">
        <v>20</v>
      </c>
      <c r="F69" s="2" t="s">
        <v>58</v>
      </c>
      <c r="G69" s="2">
        <v>1221.0</v>
      </c>
      <c r="H69" s="2">
        <v>12667.0</v>
      </c>
      <c r="I69" s="2">
        <v>11447.0</v>
      </c>
      <c r="J69" s="2">
        <v>11.0</v>
      </c>
      <c r="K69" s="2">
        <v>0.0</v>
      </c>
      <c r="L69" s="2">
        <v>0.0</v>
      </c>
      <c r="M69" s="2">
        <v>0.0</v>
      </c>
      <c r="N69" s="2">
        <v>0.0</v>
      </c>
      <c r="O69" s="2" t="s">
        <v>22</v>
      </c>
      <c r="P69" s="2">
        <v>65.12</v>
      </c>
      <c r="Q69" s="2">
        <v>0.001</v>
      </c>
    </row>
    <row r="70">
      <c r="A70" s="2">
        <v>8.13363548E9</v>
      </c>
      <c r="B70" s="2" t="str">
        <f t="array" ref="B70">INDEX(Sheet2!B:B, MATCH(A70, Sheet2!A:A, 0))
</f>
        <v>Ralstonia insidiosa 151470066-2</v>
      </c>
      <c r="C70" s="2" t="s">
        <v>160</v>
      </c>
      <c r="D70" s="2" t="s">
        <v>161</v>
      </c>
      <c r="E70" s="2" t="s">
        <v>20</v>
      </c>
      <c r="F70" s="2" t="s">
        <v>55</v>
      </c>
      <c r="G70" s="2">
        <v>381.0</v>
      </c>
      <c r="H70" s="2">
        <v>40856.0</v>
      </c>
      <c r="I70" s="2">
        <v>40476.0</v>
      </c>
      <c r="J70" s="2">
        <v>47.0</v>
      </c>
      <c r="K70" s="2">
        <v>0.0</v>
      </c>
      <c r="L70" s="2">
        <v>0.0</v>
      </c>
      <c r="M70" s="2">
        <v>0.0</v>
      </c>
      <c r="N70" s="2">
        <v>0.0</v>
      </c>
      <c r="O70" s="2" t="s">
        <v>33</v>
      </c>
      <c r="P70" s="2">
        <v>64.8</v>
      </c>
      <c r="Q70" s="2">
        <v>0.0012</v>
      </c>
    </row>
    <row r="71">
      <c r="A71" s="2">
        <v>8.13363548E9</v>
      </c>
      <c r="B71" s="2" t="str">
        <f t="array" ref="B71">INDEX(Sheet2!B:B, MATCH(A71, Sheet2!A:A, 0))
</f>
        <v>Ralstonia insidiosa 151470066-2</v>
      </c>
      <c r="C71" s="2" t="s">
        <v>162</v>
      </c>
      <c r="D71" s="2" t="s">
        <v>163</v>
      </c>
      <c r="E71" s="2" t="s">
        <v>20</v>
      </c>
      <c r="F71" s="2" t="s">
        <v>36</v>
      </c>
      <c r="G71" s="2">
        <v>1536.0</v>
      </c>
      <c r="H71" s="2">
        <v>20075.0</v>
      </c>
      <c r="I71" s="2">
        <v>18540.0</v>
      </c>
      <c r="J71" s="2">
        <v>14.0</v>
      </c>
      <c r="K71" s="2">
        <v>0.0</v>
      </c>
      <c r="L71" s="2">
        <v>0.0</v>
      </c>
      <c r="M71" s="2">
        <v>0.0</v>
      </c>
      <c r="N71" s="2">
        <v>0.0</v>
      </c>
      <c r="O71" s="2" t="s">
        <v>22</v>
      </c>
      <c r="P71" s="2">
        <v>63.42</v>
      </c>
      <c r="Q71" s="2">
        <v>8.0E-4</v>
      </c>
    </row>
    <row r="72">
      <c r="A72" s="2">
        <v>8.13363548E9</v>
      </c>
      <c r="B72" s="2" t="str">
        <f t="array" ref="B72">INDEX(Sheet2!B:B, MATCH(A72, Sheet2!A:A, 0))
</f>
        <v>Ralstonia insidiosa 151470066-2</v>
      </c>
      <c r="C72" s="2" t="s">
        <v>164</v>
      </c>
      <c r="D72" s="2" t="s">
        <v>163</v>
      </c>
      <c r="E72" s="2" t="s">
        <v>20</v>
      </c>
      <c r="F72" s="2" t="s">
        <v>29</v>
      </c>
      <c r="G72" s="2">
        <v>187.0</v>
      </c>
      <c r="H72" s="2">
        <v>29770.0</v>
      </c>
      <c r="I72" s="2">
        <v>29584.0</v>
      </c>
      <c r="J72" s="2">
        <v>25.0</v>
      </c>
      <c r="K72" s="2">
        <v>0.0</v>
      </c>
      <c r="L72" s="2">
        <v>0.0</v>
      </c>
      <c r="M72" s="2">
        <v>0.0</v>
      </c>
      <c r="N72" s="2">
        <v>0.0</v>
      </c>
      <c r="O72" s="2" t="s">
        <v>22</v>
      </c>
      <c r="P72" s="2">
        <v>62.33</v>
      </c>
      <c r="Q72" s="2">
        <v>8.0E-4</v>
      </c>
    </row>
    <row r="73">
      <c r="A73" s="2">
        <v>8.13363548E9</v>
      </c>
      <c r="B73" s="2" t="str">
        <f t="array" ref="B73">INDEX(Sheet2!B:B, MATCH(A73, Sheet2!A:A, 0))
</f>
        <v>Ralstonia insidiosa 151470066-2</v>
      </c>
      <c r="C73" s="2" t="s">
        <v>165</v>
      </c>
      <c r="D73" s="2" t="s">
        <v>166</v>
      </c>
      <c r="E73" s="2" t="s">
        <v>20</v>
      </c>
      <c r="F73" s="2" t="s">
        <v>63</v>
      </c>
      <c r="G73" s="2">
        <v>719.0</v>
      </c>
      <c r="H73" s="2">
        <v>21675.0</v>
      </c>
      <c r="I73" s="2">
        <v>20957.0</v>
      </c>
      <c r="J73" s="2">
        <v>19.0</v>
      </c>
      <c r="K73" s="2">
        <v>0.0</v>
      </c>
      <c r="L73" s="2">
        <v>0.0</v>
      </c>
      <c r="M73" s="2">
        <v>0.0</v>
      </c>
      <c r="N73" s="2">
        <v>0.0</v>
      </c>
      <c r="O73" s="2" t="s">
        <v>33</v>
      </c>
      <c r="P73" s="2">
        <v>63.92</v>
      </c>
      <c r="Q73" s="2">
        <v>9.0E-4</v>
      </c>
    </row>
    <row r="74">
      <c r="A74" s="2">
        <v>8.13363548E9</v>
      </c>
      <c r="B74" s="2" t="str">
        <f t="array" ref="B74">INDEX(Sheet2!B:B, MATCH(A74, Sheet2!A:A, 0))
</f>
        <v>Ralstonia insidiosa 151470066-2</v>
      </c>
      <c r="C74" s="2" t="s">
        <v>167</v>
      </c>
      <c r="D74" s="2" t="s">
        <v>168</v>
      </c>
      <c r="E74" s="2" t="s">
        <v>20</v>
      </c>
      <c r="F74" s="2" t="s">
        <v>48</v>
      </c>
      <c r="G74" s="2">
        <v>685.0</v>
      </c>
      <c r="H74" s="2">
        <v>8770.0</v>
      </c>
      <c r="I74" s="2">
        <v>8086.0</v>
      </c>
      <c r="J74" s="2">
        <v>9.0</v>
      </c>
      <c r="K74" s="2">
        <v>0.0</v>
      </c>
      <c r="L74" s="2">
        <v>0.0</v>
      </c>
      <c r="M74" s="2">
        <v>0.0</v>
      </c>
      <c r="N74" s="2">
        <v>0.0</v>
      </c>
      <c r="O74" s="2" t="s">
        <v>22</v>
      </c>
      <c r="P74" s="2">
        <v>63.24</v>
      </c>
      <c r="Q74" s="2">
        <v>0.0011</v>
      </c>
    </row>
    <row r="75">
      <c r="A75" s="2">
        <v>8.13363548E9</v>
      </c>
      <c r="B75" s="2" t="str">
        <f t="array" ref="B75">INDEX(Sheet2!B:B, MATCH(A75, Sheet2!A:A, 0))
</f>
        <v>Ralstonia insidiosa 151470066-2</v>
      </c>
      <c r="C75" s="2" t="s">
        <v>169</v>
      </c>
      <c r="D75" s="2" t="s">
        <v>170</v>
      </c>
      <c r="E75" s="2" t="s">
        <v>20</v>
      </c>
      <c r="F75" s="2" t="s">
        <v>32</v>
      </c>
      <c r="G75" s="2">
        <v>457.0</v>
      </c>
      <c r="H75" s="2">
        <v>24830.0</v>
      </c>
      <c r="I75" s="2">
        <v>24374.0</v>
      </c>
      <c r="J75" s="2">
        <v>27.0</v>
      </c>
      <c r="K75" s="2">
        <v>0.0</v>
      </c>
      <c r="L75" s="2">
        <v>0.0</v>
      </c>
      <c r="M75" s="2">
        <v>0.0</v>
      </c>
      <c r="N75" s="2">
        <v>0.0</v>
      </c>
      <c r="O75" s="2" t="s">
        <v>33</v>
      </c>
      <c r="P75" s="2">
        <v>65.21</v>
      </c>
      <c r="Q75" s="2">
        <v>0.0011</v>
      </c>
    </row>
    <row r="76">
      <c r="A76" s="2">
        <v>8.13363548E9</v>
      </c>
      <c r="B76" s="2" t="str">
        <f t="array" ref="B76">INDEX(Sheet2!B:B, MATCH(A76, Sheet2!A:A, 0))
</f>
        <v>Ralstonia insidiosa 151470066-2</v>
      </c>
      <c r="C76" s="2" t="s">
        <v>171</v>
      </c>
      <c r="D76" s="2" t="s">
        <v>172</v>
      </c>
      <c r="E76" s="2" t="s">
        <v>20</v>
      </c>
      <c r="F76" s="2" t="s">
        <v>51</v>
      </c>
      <c r="G76" s="2">
        <v>491.0</v>
      </c>
      <c r="H76" s="2">
        <v>46884.0</v>
      </c>
      <c r="I76" s="2">
        <v>46394.0</v>
      </c>
      <c r="J76" s="2">
        <v>56.0</v>
      </c>
      <c r="K76" s="2">
        <v>0.0</v>
      </c>
      <c r="L76" s="2">
        <v>0.0</v>
      </c>
      <c r="M76" s="2">
        <v>0.0</v>
      </c>
      <c r="N76" s="2">
        <v>0.0</v>
      </c>
      <c r="O76" s="2" t="s">
        <v>33</v>
      </c>
      <c r="P76" s="2">
        <v>61.27</v>
      </c>
      <c r="Q76" s="2">
        <v>0.0012</v>
      </c>
    </row>
    <row r="77">
      <c r="A77" s="2">
        <v>8.133643943E9</v>
      </c>
      <c r="B77" s="2" t="str">
        <f t="array" ref="B77">INDEX(Sheet2!B:B, MATCH(A77, Sheet2!A:A, 0))
</f>
        <v>Methylorubrum extorquens 153480035-1</v>
      </c>
      <c r="C77" s="2" t="s">
        <v>173</v>
      </c>
      <c r="D77" s="2" t="s">
        <v>174</v>
      </c>
      <c r="E77" s="2" t="s">
        <v>20</v>
      </c>
      <c r="F77" s="2" t="s">
        <v>175</v>
      </c>
      <c r="G77" s="2">
        <v>550.0</v>
      </c>
      <c r="H77" s="2">
        <v>19445.0</v>
      </c>
      <c r="I77" s="2">
        <v>18896.0</v>
      </c>
      <c r="J77" s="2">
        <v>16.0</v>
      </c>
      <c r="K77" s="2">
        <v>0.0</v>
      </c>
      <c r="L77" s="2">
        <v>0.0</v>
      </c>
      <c r="M77" s="2">
        <v>0.0</v>
      </c>
      <c r="N77" s="2">
        <v>0.0</v>
      </c>
      <c r="O77" s="2" t="s">
        <v>33</v>
      </c>
      <c r="P77" s="2">
        <v>68.74</v>
      </c>
      <c r="Q77" s="2">
        <v>8.0E-4</v>
      </c>
    </row>
    <row r="78">
      <c r="A78" s="2">
        <v>8.133643943E9</v>
      </c>
      <c r="B78" s="2" t="str">
        <f t="array" ref="B78">INDEX(Sheet2!B:B, MATCH(A78, Sheet2!A:A, 0))
</f>
        <v>Methylorubrum extorquens 153480035-1</v>
      </c>
      <c r="C78" s="2" t="s">
        <v>176</v>
      </c>
      <c r="D78" s="2" t="s">
        <v>177</v>
      </c>
      <c r="E78" s="2" t="s">
        <v>20</v>
      </c>
      <c r="F78" s="2" t="s">
        <v>36</v>
      </c>
      <c r="G78" s="2">
        <v>493.0</v>
      </c>
      <c r="H78" s="2">
        <v>20483.0</v>
      </c>
      <c r="I78" s="2">
        <v>19991.0</v>
      </c>
      <c r="J78" s="2">
        <v>22.0</v>
      </c>
      <c r="K78" s="2">
        <v>0.0</v>
      </c>
      <c r="L78" s="2">
        <v>0.0</v>
      </c>
      <c r="M78" s="2">
        <v>0.0</v>
      </c>
      <c r="N78" s="2">
        <v>0.0</v>
      </c>
      <c r="O78" s="2" t="s">
        <v>33</v>
      </c>
      <c r="P78" s="2">
        <v>69.96</v>
      </c>
      <c r="Q78" s="2">
        <v>0.0011</v>
      </c>
    </row>
    <row r="79">
      <c r="A79" s="2">
        <v>8.133643943E9</v>
      </c>
      <c r="B79" s="2" t="str">
        <f t="array" ref="B79">INDEX(Sheet2!B:B, MATCH(A79, Sheet2!A:A, 0))
</f>
        <v>Methylorubrum extorquens 153480035-1</v>
      </c>
      <c r="C79" s="2" t="s">
        <v>178</v>
      </c>
      <c r="D79" s="2" t="s">
        <v>179</v>
      </c>
      <c r="E79" s="2" t="s">
        <v>20</v>
      </c>
      <c r="F79" s="2" t="s">
        <v>29</v>
      </c>
      <c r="G79" s="2">
        <v>703.0</v>
      </c>
      <c r="H79" s="2">
        <v>32656.0</v>
      </c>
      <c r="I79" s="2">
        <v>31954.0</v>
      </c>
      <c r="J79" s="2">
        <v>26.0</v>
      </c>
      <c r="K79" s="2">
        <v>0.0</v>
      </c>
      <c r="L79" s="2">
        <v>0.0</v>
      </c>
      <c r="M79" s="2">
        <v>0.0</v>
      </c>
      <c r="N79" s="2">
        <v>0.0</v>
      </c>
      <c r="O79" s="2" t="s">
        <v>33</v>
      </c>
      <c r="P79" s="2">
        <v>69.53</v>
      </c>
      <c r="Q79" s="2">
        <v>8.0E-4</v>
      </c>
    </row>
    <row r="80">
      <c r="A80" s="2">
        <v>8.133643943E9</v>
      </c>
      <c r="B80" s="2" t="str">
        <f t="array" ref="B80">INDEX(Sheet2!B:B, MATCH(A80, Sheet2!A:A, 0))
</f>
        <v>Methylorubrum extorquens 153480035-1</v>
      </c>
      <c r="C80" s="2" t="s">
        <v>180</v>
      </c>
      <c r="D80" s="2" t="s">
        <v>181</v>
      </c>
      <c r="E80" s="2" t="s">
        <v>20</v>
      </c>
      <c r="F80" s="2" t="s">
        <v>36</v>
      </c>
      <c r="G80" s="2">
        <v>340.0</v>
      </c>
      <c r="H80" s="2">
        <v>47101.0</v>
      </c>
      <c r="I80" s="2">
        <v>46762.0</v>
      </c>
      <c r="J80" s="2">
        <v>59.0</v>
      </c>
      <c r="K80" s="2">
        <v>0.0</v>
      </c>
      <c r="L80" s="2">
        <v>0.0</v>
      </c>
      <c r="M80" s="2">
        <v>0.0</v>
      </c>
      <c r="N80" s="2">
        <v>0.0</v>
      </c>
      <c r="O80" s="2" t="s">
        <v>33</v>
      </c>
      <c r="P80" s="2">
        <v>69.35</v>
      </c>
      <c r="Q80" s="2">
        <v>0.0013</v>
      </c>
    </row>
    <row r="81">
      <c r="A81" s="2">
        <v>8.133643943E9</v>
      </c>
      <c r="B81" s="2" t="str">
        <f t="array" ref="B81">INDEX(Sheet2!B:B, MATCH(A81, Sheet2!A:A, 0))
</f>
        <v>Methylorubrum extorquens 153480035-1</v>
      </c>
      <c r="C81" s="2" t="s">
        <v>182</v>
      </c>
      <c r="D81" s="2" t="s">
        <v>174</v>
      </c>
      <c r="E81" s="2" t="s">
        <v>20</v>
      </c>
      <c r="F81" s="2" t="s">
        <v>21</v>
      </c>
      <c r="G81" s="2">
        <v>1249.0</v>
      </c>
      <c r="H81" s="2">
        <v>41550.0</v>
      </c>
      <c r="I81" s="2">
        <v>40302.0</v>
      </c>
      <c r="J81" s="2">
        <v>47.0</v>
      </c>
      <c r="K81" s="2">
        <v>0.0</v>
      </c>
      <c r="L81" s="2">
        <v>0.0</v>
      </c>
      <c r="M81" s="2">
        <v>0.0</v>
      </c>
      <c r="N81" s="2">
        <v>0.0</v>
      </c>
      <c r="O81" s="2" t="s">
        <v>33</v>
      </c>
      <c r="P81" s="2">
        <v>70.22</v>
      </c>
      <c r="Q81" s="2">
        <v>0.0012</v>
      </c>
    </row>
    <row r="82">
      <c r="A82" s="2">
        <v>8.133643943E9</v>
      </c>
      <c r="B82" s="2" t="str">
        <f t="array" ref="B82">INDEX(Sheet2!B:B, MATCH(A82, Sheet2!A:A, 0))
</f>
        <v>Methylorubrum extorquens 153480035-1</v>
      </c>
      <c r="C82" s="2" t="s">
        <v>183</v>
      </c>
      <c r="D82" s="2" t="s">
        <v>184</v>
      </c>
      <c r="E82" s="2" t="s">
        <v>20</v>
      </c>
      <c r="F82" s="2" t="s">
        <v>36</v>
      </c>
      <c r="G82" s="2">
        <v>2371.0</v>
      </c>
      <c r="H82" s="2">
        <v>20750.0</v>
      </c>
      <c r="I82" s="2">
        <v>18380.0</v>
      </c>
      <c r="J82" s="2">
        <v>17.0</v>
      </c>
      <c r="K82" s="2">
        <v>0.0</v>
      </c>
      <c r="L82" s="2">
        <v>0.0</v>
      </c>
      <c r="M82" s="2">
        <v>0.0</v>
      </c>
      <c r="N82" s="2">
        <v>0.0</v>
      </c>
      <c r="O82" s="2" t="s">
        <v>33</v>
      </c>
      <c r="P82" s="2">
        <v>69.04</v>
      </c>
      <c r="Q82" s="2">
        <v>9.0E-4</v>
      </c>
    </row>
    <row r="83">
      <c r="A83" s="2">
        <v>8.133643943E9</v>
      </c>
      <c r="B83" s="2" t="str">
        <f t="array" ref="B83">INDEX(Sheet2!B:B, MATCH(A83, Sheet2!A:A, 0))
</f>
        <v>Methylorubrum extorquens 153480035-1</v>
      </c>
      <c r="C83" s="2" t="s">
        <v>185</v>
      </c>
      <c r="D83" s="2" t="s">
        <v>181</v>
      </c>
      <c r="E83" s="2" t="s">
        <v>20</v>
      </c>
      <c r="F83" s="2" t="s">
        <v>63</v>
      </c>
      <c r="G83" s="2">
        <v>361.0</v>
      </c>
      <c r="H83" s="2">
        <v>21092.0</v>
      </c>
      <c r="I83" s="2">
        <v>20732.0</v>
      </c>
      <c r="J83" s="2">
        <v>22.0</v>
      </c>
      <c r="K83" s="2">
        <v>0.0</v>
      </c>
      <c r="L83" s="2">
        <v>0.0</v>
      </c>
      <c r="M83" s="2">
        <v>0.0</v>
      </c>
      <c r="N83" s="2">
        <v>0.0</v>
      </c>
      <c r="O83" s="2" t="s">
        <v>33</v>
      </c>
      <c r="P83" s="2">
        <v>68.28</v>
      </c>
      <c r="Q83" s="2">
        <v>0.0011</v>
      </c>
    </row>
    <row r="84">
      <c r="A84" s="2">
        <v>8.133643943E9</v>
      </c>
      <c r="B84" s="2" t="str">
        <f t="array" ref="B84">INDEX(Sheet2!B:B, MATCH(A84, Sheet2!A:A, 0))
</f>
        <v>Methylorubrum extorquens 153480035-1</v>
      </c>
      <c r="C84" s="2" t="s">
        <v>186</v>
      </c>
      <c r="D84" s="2" t="s">
        <v>187</v>
      </c>
      <c r="E84" s="2" t="s">
        <v>20</v>
      </c>
      <c r="F84" s="2" t="s">
        <v>25</v>
      </c>
      <c r="G84" s="2">
        <v>632.0</v>
      </c>
      <c r="H84" s="2">
        <v>31959.0</v>
      </c>
      <c r="I84" s="2">
        <v>31328.0</v>
      </c>
      <c r="J84" s="2">
        <v>31.0</v>
      </c>
      <c r="K84" s="2">
        <v>0.0</v>
      </c>
      <c r="L84" s="2">
        <v>0.0</v>
      </c>
      <c r="M84" s="2">
        <v>0.0</v>
      </c>
      <c r="N84" s="2">
        <v>0.0</v>
      </c>
      <c r="O84" s="2" t="s">
        <v>22</v>
      </c>
      <c r="P84" s="2">
        <v>68.87</v>
      </c>
      <c r="Q84" s="2">
        <v>0.001</v>
      </c>
    </row>
    <row r="85">
      <c r="A85" s="2">
        <v>8.133992572E9</v>
      </c>
      <c r="B85" s="2" t="str">
        <f t="array" ref="B85">INDEX(Sheet2!B:B, MATCH(A85, Sheet2!A:A, 0))
</f>
        <v>Staphylococcus hominis 153480033-6</v>
      </c>
      <c r="C85" s="2" t="s">
        <v>188</v>
      </c>
      <c r="D85" s="2" t="s">
        <v>189</v>
      </c>
      <c r="E85" s="2" t="s">
        <v>20</v>
      </c>
      <c r="F85" s="2" t="s">
        <v>27</v>
      </c>
      <c r="G85" s="2">
        <v>138.0</v>
      </c>
      <c r="H85" s="2">
        <v>47356.0</v>
      </c>
      <c r="I85" s="2">
        <v>47219.0</v>
      </c>
      <c r="J85" s="2">
        <v>47.0</v>
      </c>
      <c r="K85" s="2">
        <v>0.0</v>
      </c>
      <c r="L85" s="2">
        <v>0.0</v>
      </c>
      <c r="M85" s="2">
        <v>0.0</v>
      </c>
      <c r="N85" s="2">
        <v>0.0</v>
      </c>
      <c r="O85" s="2" t="s">
        <v>22</v>
      </c>
      <c r="P85" s="2">
        <v>32.11</v>
      </c>
      <c r="Q85" s="2">
        <v>0.001</v>
      </c>
    </row>
    <row r="86">
      <c r="A86" s="2">
        <v>8.133992572E9</v>
      </c>
      <c r="B86" s="2" t="str">
        <f t="array" ref="B86">INDEX(Sheet2!B:B, MATCH(A86, Sheet2!A:A, 0))
</f>
        <v>Staphylococcus hominis 153480033-6</v>
      </c>
      <c r="C86" s="2" t="s">
        <v>190</v>
      </c>
      <c r="D86" s="2" t="s">
        <v>191</v>
      </c>
      <c r="E86" s="2" t="s">
        <v>20</v>
      </c>
      <c r="F86" s="2" t="s">
        <v>29</v>
      </c>
      <c r="G86" s="2">
        <v>1383.0</v>
      </c>
      <c r="H86" s="2">
        <v>30650.0</v>
      </c>
      <c r="I86" s="2">
        <v>29268.0</v>
      </c>
      <c r="J86" s="2">
        <v>27.0</v>
      </c>
      <c r="K86" s="2">
        <v>0.0</v>
      </c>
      <c r="L86" s="2">
        <v>0.0</v>
      </c>
      <c r="M86" s="2">
        <v>0.0</v>
      </c>
      <c r="N86" s="2">
        <v>0.0</v>
      </c>
      <c r="O86" s="2" t="s">
        <v>22</v>
      </c>
      <c r="P86" s="2">
        <v>30.34</v>
      </c>
      <c r="Q86" s="2">
        <v>9.0E-4</v>
      </c>
    </row>
    <row r="87">
      <c r="A87" s="2">
        <v>8.133992572E9</v>
      </c>
      <c r="B87" s="2" t="str">
        <f t="array" ref="B87">INDEX(Sheet2!B:B, MATCH(A87, Sheet2!A:A, 0))
</f>
        <v>Staphylococcus hominis 153480033-6</v>
      </c>
      <c r="C87" s="2" t="s">
        <v>192</v>
      </c>
      <c r="D87" s="2" t="s">
        <v>193</v>
      </c>
      <c r="E87" s="2" t="s">
        <v>20</v>
      </c>
      <c r="F87" s="2" t="s">
        <v>43</v>
      </c>
      <c r="G87" s="2">
        <v>854.0</v>
      </c>
      <c r="H87" s="2">
        <v>10710.0</v>
      </c>
      <c r="I87" s="2">
        <v>9857.0</v>
      </c>
      <c r="J87" s="2">
        <v>11.0</v>
      </c>
      <c r="K87" s="2">
        <v>0.0</v>
      </c>
      <c r="L87" s="2">
        <v>0.0</v>
      </c>
      <c r="M87" s="2">
        <v>0.0</v>
      </c>
      <c r="N87" s="2">
        <v>0.0</v>
      </c>
      <c r="O87" s="2" t="s">
        <v>22</v>
      </c>
      <c r="P87" s="2">
        <v>30.16</v>
      </c>
      <c r="Q87" s="2">
        <v>0.0011</v>
      </c>
    </row>
    <row r="88">
      <c r="A88" s="2">
        <v>8.134898396E9</v>
      </c>
      <c r="B88" s="2" t="str">
        <f t="array" ref="B88">INDEX(Sheet2!B:B, MATCH(A88, Sheet2!A:A, 0))
</f>
        <v>Staphylococcus warneri 140720001-1</v>
      </c>
      <c r="C88" s="2" t="s">
        <v>194</v>
      </c>
      <c r="D88" s="2" t="s">
        <v>195</v>
      </c>
      <c r="E88" s="2" t="s">
        <v>20</v>
      </c>
      <c r="F88" s="2" t="s">
        <v>43</v>
      </c>
      <c r="G88" s="2">
        <v>1597.0</v>
      </c>
      <c r="H88" s="2">
        <v>17951.0</v>
      </c>
      <c r="I88" s="2">
        <v>16355.0</v>
      </c>
      <c r="J88" s="2">
        <v>19.0</v>
      </c>
      <c r="K88" s="2">
        <v>0.0</v>
      </c>
      <c r="L88" s="2">
        <v>0.0</v>
      </c>
      <c r="M88" s="2">
        <v>0.0</v>
      </c>
      <c r="N88" s="2">
        <v>0.0</v>
      </c>
      <c r="O88" s="2" t="s">
        <v>22</v>
      </c>
      <c r="P88" s="2">
        <v>31.88</v>
      </c>
      <c r="Q88" s="2">
        <v>0.0012</v>
      </c>
    </row>
    <row r="89">
      <c r="A89" s="2">
        <v>8.134898396E9</v>
      </c>
      <c r="B89" s="2" t="str">
        <f t="array" ref="B89">INDEX(Sheet2!B:B, MATCH(A89, Sheet2!A:A, 0))
</f>
        <v>Staphylococcus warneri 140720001-1</v>
      </c>
      <c r="C89" s="2" t="s">
        <v>196</v>
      </c>
      <c r="D89" s="2" t="s">
        <v>197</v>
      </c>
      <c r="E89" s="2" t="s">
        <v>20</v>
      </c>
      <c r="F89" s="2" t="s">
        <v>29</v>
      </c>
      <c r="G89" s="2">
        <v>857.0</v>
      </c>
      <c r="H89" s="2">
        <v>32731.0</v>
      </c>
      <c r="I89" s="2">
        <v>31875.0</v>
      </c>
      <c r="J89" s="2">
        <v>32.0</v>
      </c>
      <c r="K89" s="2">
        <v>0.0</v>
      </c>
      <c r="L89" s="2">
        <v>0.0</v>
      </c>
      <c r="M89" s="2">
        <v>0.0</v>
      </c>
      <c r="N89" s="2">
        <v>0.0</v>
      </c>
      <c r="O89" s="2" t="s">
        <v>33</v>
      </c>
      <c r="P89" s="2">
        <v>32.05</v>
      </c>
      <c r="Q89" s="2">
        <v>0.001</v>
      </c>
    </row>
    <row r="90">
      <c r="A90" s="2">
        <v>8.134898396E9</v>
      </c>
      <c r="B90" s="2" t="str">
        <f t="array" ref="B90">INDEX(Sheet2!B:B, MATCH(A90, Sheet2!A:A, 0))
</f>
        <v>Staphylococcus warneri 140720001-1</v>
      </c>
      <c r="C90" s="2" t="s">
        <v>198</v>
      </c>
      <c r="D90" s="2" t="s">
        <v>197</v>
      </c>
      <c r="E90" s="2" t="s">
        <v>20</v>
      </c>
      <c r="F90" s="2" t="s">
        <v>36</v>
      </c>
      <c r="G90" s="2">
        <v>244.0</v>
      </c>
      <c r="H90" s="2">
        <v>46955.0</v>
      </c>
      <c r="I90" s="2">
        <v>46712.0</v>
      </c>
      <c r="J90" s="2">
        <v>50.0</v>
      </c>
      <c r="K90" s="2">
        <v>0.0</v>
      </c>
      <c r="L90" s="2">
        <v>0.0</v>
      </c>
      <c r="M90" s="2">
        <v>0.0</v>
      </c>
      <c r="N90" s="2">
        <v>0.0</v>
      </c>
      <c r="O90" s="2" t="s">
        <v>33</v>
      </c>
      <c r="P90" s="2">
        <v>33.53</v>
      </c>
      <c r="Q90" s="2">
        <v>0.0011</v>
      </c>
    </row>
    <row r="91">
      <c r="A91" s="2">
        <v>8.135715517E9</v>
      </c>
      <c r="B91" s="2" t="str">
        <f t="array" ref="B91">INDEX(Sheet2!B:B, MATCH(A91, Sheet2!A:A, 0))
</f>
        <v>Kocuria marina F10_7S_D2_EB4</v>
      </c>
      <c r="C91" s="2" t="s">
        <v>199</v>
      </c>
      <c r="D91" s="2" t="s">
        <v>200</v>
      </c>
      <c r="E91" s="2" t="s">
        <v>20</v>
      </c>
      <c r="F91" s="2" t="s">
        <v>32</v>
      </c>
      <c r="G91" s="2">
        <v>1387.0</v>
      </c>
      <c r="H91" s="2">
        <v>25555.0</v>
      </c>
      <c r="I91" s="2">
        <v>24169.0</v>
      </c>
      <c r="J91" s="2">
        <v>23.0</v>
      </c>
      <c r="K91" s="2">
        <v>0.0</v>
      </c>
      <c r="L91" s="2">
        <v>0.0</v>
      </c>
      <c r="M91" s="2">
        <v>0.0</v>
      </c>
      <c r="N91" s="2">
        <v>0.0</v>
      </c>
      <c r="O91" s="2" t="s">
        <v>22</v>
      </c>
      <c r="P91" s="2">
        <v>70.68</v>
      </c>
      <c r="Q91" s="2">
        <v>0.001</v>
      </c>
    </row>
    <row r="92">
      <c r="A92" s="2">
        <v>8.135715517E9</v>
      </c>
      <c r="B92" s="2" t="str">
        <f t="array" ref="B92">INDEX(Sheet2!B:B, MATCH(A92, Sheet2!A:A, 0))
</f>
        <v>Kocuria marina F10_7S_D2_EB4</v>
      </c>
      <c r="C92" s="2" t="s">
        <v>201</v>
      </c>
      <c r="D92" s="2" t="s">
        <v>200</v>
      </c>
      <c r="E92" s="2" t="s">
        <v>20</v>
      </c>
      <c r="F92" s="2" t="s">
        <v>29</v>
      </c>
      <c r="G92" s="2">
        <v>1018.0</v>
      </c>
      <c r="H92" s="2">
        <v>28024.0</v>
      </c>
      <c r="I92" s="2">
        <v>27007.0</v>
      </c>
      <c r="J92" s="2">
        <v>22.0</v>
      </c>
      <c r="K92" s="2">
        <v>0.0</v>
      </c>
      <c r="L92" s="2">
        <v>0.0</v>
      </c>
      <c r="M92" s="2">
        <v>0.0</v>
      </c>
      <c r="N92" s="2">
        <v>0.0</v>
      </c>
      <c r="O92" s="2" t="s">
        <v>33</v>
      </c>
      <c r="P92" s="2">
        <v>69.5</v>
      </c>
      <c r="Q92" s="2">
        <v>8.0E-4</v>
      </c>
    </row>
    <row r="93">
      <c r="A93" s="2">
        <v>8.135715517E9</v>
      </c>
      <c r="B93" s="2" t="str">
        <f t="array" ref="B93">INDEX(Sheet2!B:B, MATCH(A93, Sheet2!A:A, 0))
</f>
        <v>Kocuria marina F10_7S_D2_EB4</v>
      </c>
      <c r="C93" s="2" t="s">
        <v>202</v>
      </c>
      <c r="D93" s="2" t="s">
        <v>203</v>
      </c>
      <c r="E93" s="2" t="s">
        <v>20</v>
      </c>
      <c r="F93" s="2" t="s">
        <v>27</v>
      </c>
      <c r="G93" s="2">
        <v>663.0</v>
      </c>
      <c r="H93" s="2">
        <v>40060.0</v>
      </c>
      <c r="I93" s="2">
        <v>39398.0</v>
      </c>
      <c r="J93" s="2">
        <v>42.0</v>
      </c>
      <c r="K93" s="2">
        <v>0.0</v>
      </c>
      <c r="L93" s="2">
        <v>0.0</v>
      </c>
      <c r="M93" s="2">
        <v>0.0</v>
      </c>
      <c r="N93" s="2">
        <v>0.0</v>
      </c>
      <c r="O93" s="2" t="s">
        <v>33</v>
      </c>
      <c r="P93" s="2">
        <v>68.78</v>
      </c>
      <c r="Q93" s="2">
        <v>0.0011</v>
      </c>
    </row>
    <row r="94">
      <c r="A94" s="2">
        <v>8.135715517E9</v>
      </c>
      <c r="B94" s="2" t="str">
        <f t="array" ref="B94">INDEX(Sheet2!B:B, MATCH(A94, Sheet2!A:A, 0))
</f>
        <v>Kocuria marina F10_7S_D2_EB4</v>
      </c>
      <c r="C94" s="2" t="s">
        <v>204</v>
      </c>
      <c r="D94" s="2" t="s">
        <v>200</v>
      </c>
      <c r="E94" s="2" t="s">
        <v>20</v>
      </c>
      <c r="F94" s="2" t="s">
        <v>25</v>
      </c>
      <c r="G94" s="2">
        <v>553.0</v>
      </c>
      <c r="H94" s="2">
        <v>33141.0</v>
      </c>
      <c r="I94" s="2">
        <v>32589.0</v>
      </c>
      <c r="J94" s="2">
        <v>41.0</v>
      </c>
      <c r="K94" s="2">
        <v>0.0</v>
      </c>
      <c r="L94" s="2">
        <v>0.0</v>
      </c>
      <c r="M94" s="2">
        <v>0.0</v>
      </c>
      <c r="N94" s="2">
        <v>0.0</v>
      </c>
      <c r="O94" s="2" t="s">
        <v>33</v>
      </c>
      <c r="P94" s="2">
        <v>69.95</v>
      </c>
      <c r="Q94" s="2">
        <v>0.0013</v>
      </c>
    </row>
    <row r="95">
      <c r="A95" s="2">
        <v>8.135715517E9</v>
      </c>
      <c r="B95" s="2" t="str">
        <f t="array" ref="B95">INDEX(Sheet2!B:B, MATCH(A95, Sheet2!A:A, 0))
</f>
        <v>Kocuria marina F10_7S_D2_EB4</v>
      </c>
      <c r="C95" s="2" t="s">
        <v>205</v>
      </c>
      <c r="D95" s="2" t="s">
        <v>206</v>
      </c>
      <c r="E95" s="2" t="s">
        <v>20</v>
      </c>
      <c r="F95" s="2" t="s">
        <v>36</v>
      </c>
      <c r="G95" s="2">
        <v>699.0</v>
      </c>
      <c r="H95" s="2">
        <v>20212.0</v>
      </c>
      <c r="I95" s="2">
        <v>19514.0</v>
      </c>
      <c r="J95" s="2">
        <v>21.0</v>
      </c>
      <c r="K95" s="2">
        <v>0.0</v>
      </c>
      <c r="L95" s="2">
        <v>0.0</v>
      </c>
      <c r="M95" s="2">
        <v>0.0</v>
      </c>
      <c r="N95" s="2">
        <v>0.0</v>
      </c>
      <c r="O95" s="2" t="s">
        <v>33</v>
      </c>
      <c r="P95" s="2">
        <v>69.51</v>
      </c>
      <c r="Q95" s="2">
        <v>0.0011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3" width="31.13"/>
    <col customWidth="1" min="5" max="5" width="14.0"/>
    <col customWidth="1" min="6" max="6" width="14.25"/>
    <col customWidth="1" min="9" max="10" width="27.5"/>
    <col customWidth="1" min="11" max="11" width="24.0"/>
  </cols>
  <sheetData>
    <row r="1">
      <c r="A1" s="1" t="s">
        <v>207</v>
      </c>
      <c r="B1" s="1" t="s">
        <v>1</v>
      </c>
      <c r="C1" s="3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4"/>
    </row>
    <row r="2">
      <c r="A2" s="5">
        <v>8.132450495E9</v>
      </c>
      <c r="B2" s="5" t="str">
        <f t="array" ref="B2">INDEX(Sheet2!B:B, MATCH(A2, Sheet2!A:A, 0))
</f>
        <v>Kocuria rhizophila 111540051-3</v>
      </c>
      <c r="C2" s="5"/>
      <c r="D2" s="6" t="s">
        <v>24</v>
      </c>
      <c r="E2" s="6" t="s">
        <v>217</v>
      </c>
      <c r="F2" s="6" t="s">
        <v>27</v>
      </c>
      <c r="G2" s="5">
        <v>503866.0</v>
      </c>
      <c r="H2" s="5">
        <v>545071.0</v>
      </c>
      <c r="I2" s="7" t="s">
        <v>218</v>
      </c>
      <c r="J2" s="7" t="s">
        <v>219</v>
      </c>
      <c r="K2" s="8">
        <v>0.05</v>
      </c>
    </row>
    <row r="3">
      <c r="A3" s="5">
        <v>8.132450495E9</v>
      </c>
      <c r="B3" s="5" t="str">
        <f t="array" ref="B3">INDEX(Sheet2!B:B, MATCH(A3, Sheet2!A:A, 0))
</f>
        <v>Kocuria rhizophila 111540051-3</v>
      </c>
      <c r="C3" s="5"/>
      <c r="D3" s="6" t="s">
        <v>24</v>
      </c>
      <c r="E3" s="6" t="s">
        <v>220</v>
      </c>
      <c r="F3" s="6" t="s">
        <v>29</v>
      </c>
      <c r="G3" s="5">
        <v>917205.0</v>
      </c>
      <c r="H3" s="5">
        <v>947136.0</v>
      </c>
      <c r="I3" s="9"/>
      <c r="J3" s="9"/>
      <c r="K3" s="10"/>
    </row>
    <row r="4">
      <c r="A4" s="5">
        <v>8.132450495E9</v>
      </c>
      <c r="B4" s="5" t="str">
        <f t="array" ref="B4">INDEX(Sheet2!B:B, MATCH(A4, Sheet2!A:A, 0))
</f>
        <v>Kocuria rhizophila 111540051-3</v>
      </c>
      <c r="C4" s="5"/>
      <c r="D4" s="6" t="s">
        <v>24</v>
      </c>
      <c r="E4" s="6" t="s">
        <v>221</v>
      </c>
      <c r="F4" s="6" t="s">
        <v>25</v>
      </c>
      <c r="G4" s="5">
        <v>973515.0</v>
      </c>
      <c r="H4" s="5">
        <v>1007663.0</v>
      </c>
      <c r="I4" s="9"/>
      <c r="J4" s="9"/>
      <c r="K4" s="10"/>
    </row>
    <row r="5">
      <c r="A5" s="5">
        <v>8.132450495E9</v>
      </c>
      <c r="B5" s="5" t="str">
        <f t="array" ref="B5">INDEX(Sheet2!B:B, MATCH(A5, Sheet2!A:A, 0))
</f>
        <v>Kocuria rhizophila 111540051-3</v>
      </c>
      <c r="C5" s="5"/>
      <c r="D5" s="6" t="s">
        <v>31</v>
      </c>
      <c r="E5" s="6" t="s">
        <v>222</v>
      </c>
      <c r="F5" s="6" t="s">
        <v>32</v>
      </c>
      <c r="G5" s="5">
        <v>33178.0</v>
      </c>
      <c r="H5" s="5">
        <v>60033.0</v>
      </c>
      <c r="I5" s="7" t="s">
        <v>223</v>
      </c>
      <c r="J5" s="7" t="s">
        <v>224</v>
      </c>
      <c r="K5" s="8">
        <v>0.07</v>
      </c>
    </row>
    <row r="6">
      <c r="A6" s="5">
        <v>8.132450495E9</v>
      </c>
      <c r="B6" s="5" t="str">
        <f t="array" ref="B6">INDEX(Sheet2!B:B, MATCH(A6, Sheet2!A:A, 0))
</f>
        <v>Kocuria rhizophila 111540051-3</v>
      </c>
      <c r="C6" s="5"/>
      <c r="D6" s="6" t="s">
        <v>35</v>
      </c>
      <c r="E6" s="6" t="s">
        <v>225</v>
      </c>
      <c r="F6" s="6" t="s">
        <v>36</v>
      </c>
      <c r="G6" s="5">
        <v>1121.0</v>
      </c>
      <c r="H6" s="5">
        <v>22020.0</v>
      </c>
      <c r="I6" s="7" t="s">
        <v>226</v>
      </c>
      <c r="J6" s="7" t="s">
        <v>227</v>
      </c>
      <c r="K6" s="8">
        <v>0.33</v>
      </c>
    </row>
    <row r="7">
      <c r="A7" s="5">
        <v>8.133623617E9</v>
      </c>
      <c r="B7" s="5" t="str">
        <f t="array" ref="B7">INDEX(Sheet2!B:B, MATCH(A7, Sheet2!A:A, 0))
</f>
        <v>Ralstonia insidiosa 151470044-1</v>
      </c>
      <c r="C7" s="5"/>
      <c r="D7" s="6" t="s">
        <v>131</v>
      </c>
      <c r="E7" s="6" t="s">
        <v>228</v>
      </c>
      <c r="F7" s="6" t="s">
        <v>36</v>
      </c>
      <c r="G7" s="5">
        <v>437108.0</v>
      </c>
      <c r="H7" s="5">
        <v>457941.0</v>
      </c>
      <c r="I7" s="9"/>
      <c r="J7" s="9"/>
      <c r="K7" s="10"/>
    </row>
    <row r="8">
      <c r="A8" s="5">
        <v>8.133623617E9</v>
      </c>
      <c r="B8" s="5" t="str">
        <f t="array" ref="B8">INDEX(Sheet2!B:B, MATCH(A8, Sheet2!A:A, 0))
</f>
        <v>Ralstonia insidiosa 151470044-1</v>
      </c>
      <c r="C8" s="5"/>
      <c r="D8" s="6" t="s">
        <v>131</v>
      </c>
      <c r="E8" s="6" t="s">
        <v>229</v>
      </c>
      <c r="F8" s="6" t="s">
        <v>29</v>
      </c>
      <c r="G8" s="5">
        <v>460286.0</v>
      </c>
      <c r="H8" s="5">
        <v>490172.0</v>
      </c>
      <c r="I8" s="7" t="s">
        <v>230</v>
      </c>
      <c r="J8" s="7" t="s">
        <v>231</v>
      </c>
      <c r="K8" s="8">
        <v>0.62</v>
      </c>
    </row>
    <row r="9">
      <c r="A9" s="5">
        <v>8.133623617E9</v>
      </c>
      <c r="B9" s="5" t="str">
        <f t="array" ref="B9">INDEX(Sheet2!B:B, MATCH(A9, Sheet2!A:A, 0))
</f>
        <v>Ralstonia insidiosa 151470044-1</v>
      </c>
      <c r="C9" s="5"/>
      <c r="D9" s="6" t="s">
        <v>142</v>
      </c>
      <c r="E9" s="6" t="s">
        <v>222</v>
      </c>
      <c r="F9" s="6" t="s">
        <v>51</v>
      </c>
      <c r="G9" s="5">
        <v>567397.0</v>
      </c>
      <c r="H9" s="5">
        <v>615025.0</v>
      </c>
      <c r="I9" s="7" t="s">
        <v>232</v>
      </c>
      <c r="J9" s="7" t="s">
        <v>233</v>
      </c>
      <c r="K9" s="8">
        <v>0.05</v>
      </c>
    </row>
    <row r="10">
      <c r="A10" s="5">
        <v>8.133623617E9</v>
      </c>
      <c r="B10" s="5" t="str">
        <f t="array" ref="B10">INDEX(Sheet2!B:B, MATCH(A10, Sheet2!A:A, 0))
</f>
        <v>Ralstonia insidiosa 151470044-1</v>
      </c>
      <c r="C10" s="5"/>
      <c r="D10" s="6" t="s">
        <v>136</v>
      </c>
      <c r="E10" s="6" t="s">
        <v>234</v>
      </c>
      <c r="F10" s="6" t="s">
        <v>55</v>
      </c>
      <c r="G10" s="5">
        <v>256944.0</v>
      </c>
      <c r="H10" s="5">
        <v>298176.0</v>
      </c>
      <c r="I10" s="9"/>
      <c r="J10" s="9"/>
      <c r="K10" s="10"/>
    </row>
    <row r="11">
      <c r="A11" s="5">
        <v>8.133623617E9</v>
      </c>
      <c r="B11" s="5" t="str">
        <f t="array" ref="B11">INDEX(Sheet2!B:B, MATCH(A11, Sheet2!A:A, 0))
</f>
        <v>Ralstonia insidiosa 151470044-1</v>
      </c>
      <c r="C11" s="5"/>
      <c r="D11" s="6" t="s">
        <v>138</v>
      </c>
      <c r="E11" s="6" t="s">
        <v>235</v>
      </c>
      <c r="F11" s="6" t="s">
        <v>63</v>
      </c>
      <c r="G11" s="5">
        <v>136524.0</v>
      </c>
      <c r="H11" s="5">
        <v>158643.0</v>
      </c>
      <c r="I11" s="7" t="s">
        <v>236</v>
      </c>
      <c r="J11" s="7" t="s">
        <v>237</v>
      </c>
      <c r="K11" s="8">
        <v>0.13</v>
      </c>
    </row>
    <row r="12">
      <c r="A12" s="5">
        <v>8.133623617E9</v>
      </c>
      <c r="B12" s="5" t="str">
        <f t="array" ref="B12">INDEX(Sheet2!B:B, MATCH(A12, Sheet2!A:A, 0))
</f>
        <v>Ralstonia insidiosa 151470044-1</v>
      </c>
      <c r="C12" s="5"/>
      <c r="D12" s="6" t="s">
        <v>140</v>
      </c>
      <c r="E12" s="6" t="s">
        <v>238</v>
      </c>
      <c r="F12" s="6" t="s">
        <v>48</v>
      </c>
      <c r="G12" s="5">
        <v>5985.0</v>
      </c>
      <c r="H12" s="5">
        <v>16692.0</v>
      </c>
      <c r="I12" s="9"/>
      <c r="J12" s="9"/>
      <c r="K12" s="10"/>
    </row>
    <row r="13">
      <c r="A13" s="5">
        <v>8.133623617E9</v>
      </c>
      <c r="B13" s="5" t="str">
        <f t="array" ref="B13">INDEX(Sheet2!B:B, MATCH(A13, Sheet2!A:A, 0))
</f>
        <v>Ralstonia insidiosa 151470044-1</v>
      </c>
      <c r="C13" s="5"/>
      <c r="D13" s="6" t="s">
        <v>129</v>
      </c>
      <c r="E13" s="6" t="s">
        <v>239</v>
      </c>
      <c r="F13" s="6" t="s">
        <v>32</v>
      </c>
      <c r="G13" s="5">
        <v>71158.0</v>
      </c>
      <c r="H13" s="5">
        <v>96157.0</v>
      </c>
      <c r="I13" s="7" t="s">
        <v>240</v>
      </c>
      <c r="J13" s="7" t="s">
        <v>231</v>
      </c>
      <c r="K13" s="8">
        <v>0.13</v>
      </c>
    </row>
    <row r="14">
      <c r="A14" s="5">
        <v>8.133623617E9</v>
      </c>
      <c r="B14" s="5" t="str">
        <f t="array" ref="B14">INDEX(Sheet2!B:B, MATCH(A14, Sheet2!A:A, 0))
</f>
        <v>Ralstonia insidiosa 151470044-1</v>
      </c>
      <c r="C14" s="5"/>
      <c r="D14" s="6" t="s">
        <v>134</v>
      </c>
      <c r="E14" s="6" t="s">
        <v>241</v>
      </c>
      <c r="F14" s="6" t="s">
        <v>58</v>
      </c>
      <c r="G14" s="5">
        <v>28964.0</v>
      </c>
      <c r="H14" s="5">
        <v>41849.0</v>
      </c>
      <c r="I14" s="9"/>
      <c r="J14" s="9"/>
      <c r="K14" s="10"/>
    </row>
    <row r="15">
      <c r="A15" s="5">
        <v>8.132601599E9</v>
      </c>
      <c r="B15" s="5" t="str">
        <f t="array" ref="B15">INDEX(Sheet2!B:B, MATCH(A15, Sheet2!A:A, 0))
</f>
        <v>Ralstonia insidiosa 130770013-1</v>
      </c>
      <c r="C15" s="5"/>
      <c r="D15" s="6" t="s">
        <v>86</v>
      </c>
      <c r="E15" s="6" t="s">
        <v>217</v>
      </c>
      <c r="F15" s="6" t="s">
        <v>29</v>
      </c>
      <c r="G15" s="5">
        <v>462140.0</v>
      </c>
      <c r="H15" s="5">
        <v>492026.0</v>
      </c>
      <c r="I15" s="7" t="s">
        <v>230</v>
      </c>
      <c r="J15" s="7" t="s">
        <v>231</v>
      </c>
      <c r="K15" s="8">
        <v>0.62</v>
      </c>
    </row>
    <row r="16">
      <c r="A16" s="5">
        <v>8.132601599E9</v>
      </c>
      <c r="B16" s="5" t="str">
        <f t="array" ref="B16">INDEX(Sheet2!B:B, MATCH(A16, Sheet2!A:A, 0))
</f>
        <v>Ralstonia insidiosa 130770013-1</v>
      </c>
      <c r="C16" s="5"/>
      <c r="D16" s="6" t="s">
        <v>86</v>
      </c>
      <c r="E16" s="6" t="s">
        <v>220</v>
      </c>
      <c r="F16" s="6" t="s">
        <v>36</v>
      </c>
      <c r="G16" s="5">
        <v>494371.0</v>
      </c>
      <c r="H16" s="5">
        <v>515204.0</v>
      </c>
      <c r="I16" s="9"/>
      <c r="J16" s="9"/>
      <c r="K16" s="10"/>
    </row>
    <row r="17">
      <c r="A17" s="5">
        <v>8.132601599E9</v>
      </c>
      <c r="B17" s="5" t="str">
        <f t="array" ref="B17">INDEX(Sheet2!B:B, MATCH(A17, Sheet2!A:A, 0))
</f>
        <v>Ralstonia insidiosa 130770013-1</v>
      </c>
      <c r="C17" s="5"/>
      <c r="D17" s="6" t="s">
        <v>80</v>
      </c>
      <c r="E17" s="6" t="s">
        <v>222</v>
      </c>
      <c r="F17" s="6" t="s">
        <v>51</v>
      </c>
      <c r="G17" s="5">
        <v>32507.0</v>
      </c>
      <c r="H17" s="5">
        <v>80135.0</v>
      </c>
      <c r="I17" s="6" t="s">
        <v>232</v>
      </c>
      <c r="J17" s="6" t="s">
        <v>233</v>
      </c>
      <c r="K17" s="8">
        <v>0.05</v>
      </c>
    </row>
    <row r="18">
      <c r="A18" s="5">
        <v>8.132601599E9</v>
      </c>
      <c r="B18" s="5" t="str">
        <f t="array" ref="B18">INDEX(Sheet2!B:B, MATCH(A18, Sheet2!A:A, 0))
</f>
        <v>Ralstonia insidiosa 130770013-1</v>
      </c>
      <c r="C18" s="5"/>
      <c r="D18" s="6" t="s">
        <v>88</v>
      </c>
      <c r="E18" s="6" t="s">
        <v>234</v>
      </c>
      <c r="F18" s="6" t="s">
        <v>55</v>
      </c>
      <c r="G18" s="5">
        <v>70292.0</v>
      </c>
      <c r="H18" s="5">
        <v>111524.0</v>
      </c>
      <c r="I18" s="10"/>
      <c r="J18" s="10"/>
      <c r="K18" s="10"/>
    </row>
    <row r="19">
      <c r="A19" s="5">
        <v>8.132601599E9</v>
      </c>
      <c r="B19" s="5" t="str">
        <f t="array" ref="B19">INDEX(Sheet2!B:B, MATCH(A19, Sheet2!A:A, 0))
</f>
        <v>Ralstonia insidiosa 130770013-1</v>
      </c>
      <c r="C19" s="5"/>
      <c r="D19" s="6" t="s">
        <v>90</v>
      </c>
      <c r="E19" s="6" t="s">
        <v>235</v>
      </c>
      <c r="F19" s="6" t="s">
        <v>63</v>
      </c>
      <c r="G19" s="5">
        <v>136524.0</v>
      </c>
      <c r="H19" s="5">
        <v>158643.0</v>
      </c>
      <c r="I19" s="6" t="s">
        <v>236</v>
      </c>
      <c r="J19" s="6" t="s">
        <v>237</v>
      </c>
      <c r="K19" s="8">
        <v>0.13</v>
      </c>
    </row>
    <row r="20">
      <c r="A20" s="5">
        <v>8.132601599E9</v>
      </c>
      <c r="B20" s="5" t="str">
        <f t="array" ref="B20">INDEX(Sheet2!B:B, MATCH(A20, Sheet2!A:A, 0))
</f>
        <v>Ralstonia insidiosa 130770013-1</v>
      </c>
      <c r="C20" s="5"/>
      <c r="D20" s="6" t="s">
        <v>92</v>
      </c>
      <c r="E20" s="6" t="s">
        <v>238</v>
      </c>
      <c r="F20" s="6" t="s">
        <v>48</v>
      </c>
      <c r="G20" s="5">
        <v>285991.0</v>
      </c>
      <c r="H20" s="5">
        <v>296698.0</v>
      </c>
      <c r="I20" s="10"/>
      <c r="J20" s="10"/>
      <c r="K20" s="10"/>
    </row>
    <row r="21">
      <c r="A21" s="5">
        <v>8.132601599E9</v>
      </c>
      <c r="B21" s="5" t="str">
        <f t="array" ref="B21">INDEX(Sheet2!B:B, MATCH(A21, Sheet2!A:A, 0))
</f>
        <v>Ralstonia insidiosa 130770013-1</v>
      </c>
      <c r="C21" s="5"/>
      <c r="D21" s="6" t="s">
        <v>82</v>
      </c>
      <c r="E21" s="6" t="s">
        <v>242</v>
      </c>
      <c r="F21" s="6" t="s">
        <v>32</v>
      </c>
      <c r="G21" s="5">
        <v>82971.0</v>
      </c>
      <c r="H21" s="5">
        <v>107970.0</v>
      </c>
      <c r="I21" s="6" t="s">
        <v>240</v>
      </c>
      <c r="J21" s="6" t="s">
        <v>231</v>
      </c>
      <c r="K21" s="8">
        <v>0.13</v>
      </c>
    </row>
    <row r="22">
      <c r="A22" s="5">
        <v>8.132601599E9</v>
      </c>
      <c r="B22" s="5" t="str">
        <f t="array" ref="B22">INDEX(Sheet2!B:B, MATCH(A22, Sheet2!A:A, 0))
</f>
        <v>Ralstonia insidiosa 130770013-1</v>
      </c>
      <c r="C22" s="5"/>
      <c r="D22" s="6" t="s">
        <v>84</v>
      </c>
      <c r="E22" s="6" t="s">
        <v>243</v>
      </c>
      <c r="F22" s="6" t="s">
        <v>58</v>
      </c>
      <c r="G22" s="5">
        <v>58069.0</v>
      </c>
      <c r="H22" s="5">
        <v>70954.0</v>
      </c>
      <c r="I22" s="10"/>
      <c r="J22" s="10"/>
      <c r="K22" s="10"/>
    </row>
    <row r="23">
      <c r="A23" s="5">
        <v>8.132503709E9</v>
      </c>
      <c r="B23" s="5" t="str">
        <f t="array" ref="B23">INDEX(Sheet2!B:B, MATCH(A23, Sheet2!A:A, 0))
</f>
        <v>Staphylococcus warneri 121210007-3</v>
      </c>
      <c r="C23" s="5"/>
      <c r="D23" s="6" t="s">
        <v>40</v>
      </c>
      <c r="E23" s="6" t="s">
        <v>222</v>
      </c>
      <c r="F23" s="6" t="s">
        <v>244</v>
      </c>
      <c r="G23" s="5">
        <v>16709.0</v>
      </c>
      <c r="H23" s="5">
        <v>63733.0</v>
      </c>
      <c r="I23" s="10"/>
      <c r="J23" s="10"/>
      <c r="K23" s="10"/>
    </row>
    <row r="24">
      <c r="A24" s="5">
        <v>8.132503709E9</v>
      </c>
      <c r="B24" s="5" t="str">
        <f t="array" ref="B24">INDEX(Sheet2!B:B, MATCH(A24, Sheet2!A:A, 0))
</f>
        <v>Staphylococcus warneri 121210007-3</v>
      </c>
      <c r="C24" s="5"/>
      <c r="D24" s="6" t="s">
        <v>42</v>
      </c>
      <c r="E24" s="6" t="s">
        <v>245</v>
      </c>
      <c r="F24" s="6" t="s">
        <v>43</v>
      </c>
      <c r="G24" s="5">
        <v>139864.0</v>
      </c>
      <c r="H24" s="5">
        <v>160599.0</v>
      </c>
      <c r="I24" s="6" t="s">
        <v>246</v>
      </c>
      <c r="J24" s="6" t="s">
        <v>231</v>
      </c>
      <c r="K24" s="8">
        <v>0.06</v>
      </c>
    </row>
    <row r="25">
      <c r="A25" s="5">
        <v>8.132503709E9</v>
      </c>
      <c r="B25" s="5" t="str">
        <f t="array" ref="B25">INDEX(Sheet2!B:B, MATCH(A25, Sheet2!A:A, 0))
</f>
        <v>Staphylococcus warneri 121210007-3</v>
      </c>
      <c r="C25" s="5"/>
      <c r="D25" s="6" t="s">
        <v>38</v>
      </c>
      <c r="E25" s="6" t="s">
        <v>247</v>
      </c>
      <c r="F25" s="6" t="s">
        <v>29</v>
      </c>
      <c r="G25" s="5">
        <v>23592.0</v>
      </c>
      <c r="H25" s="5">
        <v>56579.0</v>
      </c>
      <c r="I25" s="6" t="s">
        <v>248</v>
      </c>
      <c r="J25" s="6" t="s">
        <v>249</v>
      </c>
      <c r="K25" s="8">
        <v>1.0</v>
      </c>
    </row>
    <row r="26">
      <c r="A26" s="5">
        <v>8.133476785E9</v>
      </c>
      <c r="B26" s="5" t="str">
        <f t="array" ref="B26">INDEX(Sheet2!B:B, MATCH(A26, Sheet2!A:A, 0))
</f>
        <v>Sphingomonas lutea F9_3S_D5_B_2</v>
      </c>
      <c r="C26" s="5"/>
      <c r="D26" s="6" t="s">
        <v>127</v>
      </c>
      <c r="E26" s="6" t="s">
        <v>217</v>
      </c>
      <c r="F26" s="6" t="s">
        <v>27</v>
      </c>
      <c r="G26" s="5">
        <v>169063.0</v>
      </c>
      <c r="H26" s="5">
        <v>210109.0</v>
      </c>
      <c r="I26" s="6" t="s">
        <v>250</v>
      </c>
      <c r="J26" s="6" t="s">
        <v>251</v>
      </c>
      <c r="K26" s="8">
        <v>0.09</v>
      </c>
    </row>
    <row r="27">
      <c r="A27" s="5">
        <v>8.133341747E9</v>
      </c>
      <c r="B27" s="5" t="str">
        <f t="array" ref="B27">INDEX(Sheet2!B:B, MATCH(A27, Sheet2!A:A, 0))
</f>
        <v>Streptococcus sp. 151470009-6</v>
      </c>
      <c r="C27" s="5"/>
      <c r="D27" s="6" t="s">
        <v>125</v>
      </c>
      <c r="E27" s="6" t="s">
        <v>234</v>
      </c>
      <c r="F27" s="6" t="s">
        <v>27</v>
      </c>
      <c r="G27" s="5">
        <v>105246.0</v>
      </c>
      <c r="H27" s="5">
        <v>146418.0</v>
      </c>
      <c r="I27" s="10"/>
      <c r="J27" s="10"/>
      <c r="K27" s="10"/>
    </row>
    <row r="28">
      <c r="A28" s="5">
        <v>8.133992572E9</v>
      </c>
      <c r="B28" s="5" t="str">
        <f t="array" ref="B28">INDEX(Sheet2!B:B, MATCH(A28, Sheet2!A:A, 0))
</f>
        <v>Staphylococcus hominis 153480033-6</v>
      </c>
      <c r="C28" s="5"/>
      <c r="D28" s="6" t="s">
        <v>191</v>
      </c>
      <c r="E28" s="6" t="s">
        <v>234</v>
      </c>
      <c r="F28" s="6" t="s">
        <v>29</v>
      </c>
      <c r="G28" s="5">
        <v>52244.0</v>
      </c>
      <c r="H28" s="5">
        <v>82893.0</v>
      </c>
      <c r="I28" s="6" t="s">
        <v>248</v>
      </c>
      <c r="J28" s="6" t="s">
        <v>249</v>
      </c>
      <c r="K28" s="8">
        <v>0.75</v>
      </c>
    </row>
    <row r="29">
      <c r="A29" s="5">
        <v>8.133992572E9</v>
      </c>
      <c r="B29" s="5" t="str">
        <f t="array" ref="B29">INDEX(Sheet2!B:B, MATCH(A29, Sheet2!A:A, 0))
</f>
        <v>Staphylococcus hominis 153480033-6</v>
      </c>
      <c r="C29" s="5"/>
      <c r="D29" s="6" t="s">
        <v>189</v>
      </c>
      <c r="E29" s="6" t="s">
        <v>225</v>
      </c>
      <c r="F29" s="6" t="s">
        <v>244</v>
      </c>
      <c r="G29" s="5">
        <v>15797.0</v>
      </c>
      <c r="H29" s="5">
        <v>63548.0</v>
      </c>
      <c r="I29" s="10"/>
      <c r="J29" s="10"/>
      <c r="K29" s="10"/>
    </row>
    <row r="30">
      <c r="A30" s="5">
        <v>8.133992572E9</v>
      </c>
      <c r="B30" s="5" t="str">
        <f t="array" ref="B30">INDEX(Sheet2!B:B, MATCH(A30, Sheet2!A:A, 0))
</f>
        <v>Staphylococcus hominis 153480033-6</v>
      </c>
      <c r="C30" s="5"/>
      <c r="D30" s="6" t="s">
        <v>193</v>
      </c>
      <c r="E30" s="6" t="s">
        <v>252</v>
      </c>
      <c r="F30" s="6" t="s">
        <v>43</v>
      </c>
      <c r="G30" s="5">
        <v>15631.0</v>
      </c>
      <c r="H30" s="5">
        <v>27114.0</v>
      </c>
      <c r="I30" s="10"/>
      <c r="J30" s="10"/>
      <c r="K30" s="10"/>
    </row>
    <row r="31">
      <c r="A31" s="5">
        <v>8.132824355E9</v>
      </c>
      <c r="B31" s="5" t="str">
        <f t="array" ref="B31">INDEX(Sheet2!B:B, MATCH(A31, Sheet2!A:A, 0))
</f>
        <v>Ralstonia insidiosa 142550021-1</v>
      </c>
      <c r="C31" s="5"/>
      <c r="D31" s="6" t="s">
        <v>112</v>
      </c>
      <c r="E31" s="6" t="s">
        <v>228</v>
      </c>
      <c r="F31" s="6" t="s">
        <v>36</v>
      </c>
      <c r="G31" s="5">
        <v>437108.0</v>
      </c>
      <c r="H31" s="5">
        <v>457941.0</v>
      </c>
      <c r="I31" s="10"/>
      <c r="J31" s="10"/>
      <c r="K31" s="10"/>
    </row>
    <row r="32">
      <c r="A32" s="5">
        <v>8.132824355E9</v>
      </c>
      <c r="B32" s="5" t="str">
        <f t="array" ref="B32">INDEX(Sheet2!B:B, MATCH(A32, Sheet2!A:A, 0))
</f>
        <v>Ralstonia insidiosa 142550021-1</v>
      </c>
      <c r="C32" s="5"/>
      <c r="D32" s="6" t="s">
        <v>112</v>
      </c>
      <c r="E32" s="6" t="s">
        <v>229</v>
      </c>
      <c r="F32" s="6" t="s">
        <v>29</v>
      </c>
      <c r="G32" s="5">
        <v>460286.0</v>
      </c>
      <c r="H32" s="5">
        <v>490172.0</v>
      </c>
      <c r="I32" s="6" t="s">
        <v>230</v>
      </c>
      <c r="J32" s="6" t="s">
        <v>231</v>
      </c>
      <c r="K32" s="8">
        <v>0.62</v>
      </c>
    </row>
    <row r="33">
      <c r="A33" s="5">
        <v>8.132824355E9</v>
      </c>
      <c r="B33" s="5" t="str">
        <f t="array" ref="B33">INDEX(Sheet2!B:B, MATCH(A33, Sheet2!A:A, 0))
</f>
        <v>Ralstonia insidiosa 142550021-1</v>
      </c>
      <c r="C33" s="5"/>
      <c r="D33" s="6" t="s">
        <v>119</v>
      </c>
      <c r="E33" s="6" t="s">
        <v>222</v>
      </c>
      <c r="F33" s="6" t="s">
        <v>51</v>
      </c>
      <c r="G33" s="5">
        <v>32507.0</v>
      </c>
      <c r="H33" s="5">
        <v>80135.0</v>
      </c>
      <c r="I33" s="6" t="s">
        <v>232</v>
      </c>
      <c r="J33" s="6" t="s">
        <v>233</v>
      </c>
      <c r="K33" s="8">
        <v>0.05</v>
      </c>
    </row>
    <row r="34">
      <c r="A34" s="5">
        <v>8.132824355E9</v>
      </c>
      <c r="B34" s="5" t="str">
        <f t="array" ref="B34">INDEX(Sheet2!B:B, MATCH(A34, Sheet2!A:A, 0))
</f>
        <v>Ralstonia insidiosa 142550021-1</v>
      </c>
      <c r="C34" s="5"/>
      <c r="D34" s="6" t="s">
        <v>123</v>
      </c>
      <c r="E34" s="6" t="s">
        <v>234</v>
      </c>
      <c r="F34" s="6" t="s">
        <v>55</v>
      </c>
      <c r="G34" s="5">
        <v>256944.0</v>
      </c>
      <c r="H34" s="5">
        <v>298176.0</v>
      </c>
      <c r="I34" s="10"/>
      <c r="J34" s="10"/>
      <c r="K34" s="10"/>
    </row>
    <row r="35">
      <c r="A35" s="5">
        <v>8.132824355E9</v>
      </c>
      <c r="B35" s="5" t="str">
        <f t="array" ref="B35">INDEX(Sheet2!B:B, MATCH(A35, Sheet2!A:A, 0))
</f>
        <v>Ralstonia insidiosa 142550021-1</v>
      </c>
      <c r="C35" s="5"/>
      <c r="D35" s="6" t="s">
        <v>121</v>
      </c>
      <c r="E35" s="6" t="s">
        <v>235</v>
      </c>
      <c r="F35" s="6" t="s">
        <v>63</v>
      </c>
      <c r="G35" s="5">
        <v>152062.0</v>
      </c>
      <c r="H35" s="5">
        <v>174181.0</v>
      </c>
      <c r="I35" s="6" t="s">
        <v>236</v>
      </c>
      <c r="J35" s="6" t="s">
        <v>237</v>
      </c>
      <c r="K35" s="8">
        <v>0.13</v>
      </c>
    </row>
    <row r="36">
      <c r="A36" s="5">
        <v>8.132824355E9</v>
      </c>
      <c r="B36" s="5" t="str">
        <f t="array" ref="B36">INDEX(Sheet2!B:B, MATCH(A36, Sheet2!A:A, 0))
</f>
        <v>Ralstonia insidiosa 142550021-1</v>
      </c>
      <c r="C36" s="5"/>
      <c r="D36" s="6" t="s">
        <v>110</v>
      </c>
      <c r="E36" s="6" t="s">
        <v>238</v>
      </c>
      <c r="F36" s="6" t="s">
        <v>48</v>
      </c>
      <c r="G36" s="5">
        <v>5985.0</v>
      </c>
      <c r="H36" s="5">
        <v>16692.0</v>
      </c>
      <c r="I36" s="10"/>
      <c r="J36" s="10"/>
      <c r="K36" s="10"/>
    </row>
    <row r="37">
      <c r="A37" s="5">
        <v>8.132824355E9</v>
      </c>
      <c r="B37" s="5" t="str">
        <f t="array" ref="B37">INDEX(Sheet2!B:B, MATCH(A37, Sheet2!A:A, 0))
</f>
        <v>Ralstonia insidiosa 142550021-1</v>
      </c>
      <c r="C37" s="5"/>
      <c r="D37" s="6" t="s">
        <v>115</v>
      </c>
      <c r="E37" s="6" t="s">
        <v>239</v>
      </c>
      <c r="F37" s="6" t="s">
        <v>32</v>
      </c>
      <c r="G37" s="5">
        <v>82971.0</v>
      </c>
      <c r="H37" s="5">
        <v>107970.0</v>
      </c>
      <c r="I37" s="6" t="s">
        <v>240</v>
      </c>
      <c r="J37" s="6" t="s">
        <v>231</v>
      </c>
      <c r="K37" s="8">
        <v>0.13</v>
      </c>
    </row>
    <row r="38">
      <c r="A38" s="5">
        <v>8.132824355E9</v>
      </c>
      <c r="B38" s="5" t="str">
        <f t="array" ref="B38">INDEX(Sheet2!B:B, MATCH(A38, Sheet2!A:A, 0))
</f>
        <v>Ralstonia insidiosa 142550021-1</v>
      </c>
      <c r="C38" s="5"/>
      <c r="D38" s="6" t="s">
        <v>117</v>
      </c>
      <c r="E38" s="6" t="s">
        <v>241</v>
      </c>
      <c r="F38" s="6" t="s">
        <v>58</v>
      </c>
      <c r="G38" s="5">
        <v>58069.0</v>
      </c>
      <c r="H38" s="5">
        <v>70954.0</v>
      </c>
      <c r="I38" s="10"/>
      <c r="J38" s="10"/>
      <c r="K38" s="10"/>
    </row>
    <row r="39">
      <c r="A39" s="5">
        <v>8.132433368E9</v>
      </c>
      <c r="B39" s="5" t="str">
        <f t="array" ref="B39">INDEX(Sheet2!B:B, MATCH(A39, Sheet2!A:A, 0))
</f>
        <v>Rothia mucilaginosa 110740021-2</v>
      </c>
      <c r="C39" s="5"/>
      <c r="D39" s="6" t="s">
        <v>19</v>
      </c>
      <c r="E39" s="6" t="s">
        <v>217</v>
      </c>
      <c r="F39" s="6" t="s">
        <v>21</v>
      </c>
      <c r="G39" s="5">
        <v>800807.0</v>
      </c>
      <c r="H39" s="5">
        <v>845174.0</v>
      </c>
      <c r="I39" s="6" t="s">
        <v>253</v>
      </c>
      <c r="J39" s="6" t="s">
        <v>254</v>
      </c>
      <c r="K39" s="8">
        <v>0.88</v>
      </c>
    </row>
    <row r="40">
      <c r="A40" s="5">
        <v>8.132818425E9</v>
      </c>
      <c r="B40" s="5" t="str">
        <f t="array" ref="B40">INDEX(Sheet2!B:B, MATCH(A40, Sheet2!A:A, 0))
</f>
        <v>Ralstonia insidiosa 142550027-2</v>
      </c>
      <c r="C40" s="5"/>
      <c r="D40" s="6" t="s">
        <v>97</v>
      </c>
      <c r="E40" s="6" t="s">
        <v>217</v>
      </c>
      <c r="F40" s="6" t="s">
        <v>36</v>
      </c>
      <c r="G40" s="5">
        <v>437108.0</v>
      </c>
      <c r="H40" s="5">
        <v>457941.0</v>
      </c>
      <c r="I40" s="10"/>
      <c r="J40" s="10"/>
      <c r="K40" s="10"/>
    </row>
    <row r="41">
      <c r="A41" s="5">
        <v>8.132818425E9</v>
      </c>
      <c r="B41" s="5" t="str">
        <f t="array" ref="B41">INDEX(Sheet2!B:B, MATCH(A41, Sheet2!A:A, 0))
</f>
        <v>Ralstonia insidiosa 142550027-2</v>
      </c>
      <c r="C41" s="5"/>
      <c r="D41" s="6" t="s">
        <v>97</v>
      </c>
      <c r="E41" s="6" t="s">
        <v>220</v>
      </c>
      <c r="F41" s="6" t="s">
        <v>29</v>
      </c>
      <c r="G41" s="5">
        <v>460286.0</v>
      </c>
      <c r="H41" s="5">
        <v>490172.0</v>
      </c>
      <c r="I41" s="6" t="s">
        <v>230</v>
      </c>
      <c r="J41" s="6" t="s">
        <v>231</v>
      </c>
      <c r="K41" s="8">
        <v>0.62</v>
      </c>
    </row>
    <row r="42">
      <c r="A42" s="5">
        <v>8.132818425E9</v>
      </c>
      <c r="B42" s="5" t="str">
        <f t="array" ref="B42">INDEX(Sheet2!B:B, MATCH(A42, Sheet2!A:A, 0))
</f>
        <v>Ralstonia insidiosa 142550027-2</v>
      </c>
      <c r="C42" s="5"/>
      <c r="D42" s="6" t="s">
        <v>104</v>
      </c>
      <c r="E42" s="6" t="s">
        <v>222</v>
      </c>
      <c r="F42" s="6" t="s">
        <v>51</v>
      </c>
      <c r="G42" s="5">
        <v>567218.0</v>
      </c>
      <c r="H42" s="5">
        <v>614846.0</v>
      </c>
      <c r="I42" s="6" t="s">
        <v>232</v>
      </c>
      <c r="J42" s="6" t="s">
        <v>233</v>
      </c>
      <c r="K42" s="8">
        <v>0.05</v>
      </c>
    </row>
    <row r="43">
      <c r="A43" s="5">
        <v>8.132818425E9</v>
      </c>
      <c r="B43" s="5" t="str">
        <f t="array" ref="B43">INDEX(Sheet2!B:B, MATCH(A43, Sheet2!A:A, 0))
</f>
        <v>Ralstonia insidiosa 142550027-2</v>
      </c>
      <c r="C43" s="5"/>
      <c r="D43" s="6" t="s">
        <v>108</v>
      </c>
      <c r="E43" s="6" t="s">
        <v>234</v>
      </c>
      <c r="F43" s="6" t="s">
        <v>55</v>
      </c>
      <c r="G43" s="5">
        <v>256944.0</v>
      </c>
      <c r="H43" s="5">
        <v>298176.0</v>
      </c>
      <c r="I43" s="10"/>
      <c r="J43" s="10"/>
      <c r="K43" s="10"/>
    </row>
    <row r="44">
      <c r="A44" s="5">
        <v>8.132818425E9</v>
      </c>
      <c r="B44" s="5" t="str">
        <f t="array" ref="B44">INDEX(Sheet2!B:B, MATCH(A44, Sheet2!A:A, 0))
</f>
        <v>Ralstonia insidiosa 142550027-2</v>
      </c>
      <c r="C44" s="5"/>
      <c r="D44" s="6" t="s">
        <v>106</v>
      </c>
      <c r="E44" s="6" t="s">
        <v>235</v>
      </c>
      <c r="F44" s="6" t="s">
        <v>63</v>
      </c>
      <c r="G44" s="5">
        <v>152062.0</v>
      </c>
      <c r="H44" s="5">
        <v>174181.0</v>
      </c>
      <c r="I44" s="6" t="s">
        <v>236</v>
      </c>
      <c r="J44" s="6" t="s">
        <v>237</v>
      </c>
      <c r="K44" s="8">
        <v>0.13</v>
      </c>
    </row>
    <row r="45">
      <c r="A45" s="5">
        <v>8.132818425E9</v>
      </c>
      <c r="B45" s="5" t="str">
        <f t="array" ref="B45">INDEX(Sheet2!B:B, MATCH(A45, Sheet2!A:A, 0))
</f>
        <v>Ralstonia insidiosa 142550027-2</v>
      </c>
      <c r="C45" s="5"/>
      <c r="D45" s="6" t="s">
        <v>100</v>
      </c>
      <c r="E45" s="6" t="s">
        <v>238</v>
      </c>
      <c r="F45" s="6" t="s">
        <v>48</v>
      </c>
      <c r="G45" s="5">
        <v>285991.0</v>
      </c>
      <c r="H45" s="5">
        <v>296698.0</v>
      </c>
      <c r="I45" s="10"/>
      <c r="J45" s="10"/>
      <c r="K45" s="10"/>
    </row>
    <row r="46">
      <c r="A46" s="5">
        <v>8.132818425E9</v>
      </c>
      <c r="B46" s="5" t="str">
        <f t="array" ref="B46">INDEX(Sheet2!B:B, MATCH(A46, Sheet2!A:A, 0))
</f>
        <v>Ralstonia insidiosa 142550027-2</v>
      </c>
      <c r="C46" s="5"/>
      <c r="D46" s="6" t="s">
        <v>95</v>
      </c>
      <c r="E46" s="6" t="s">
        <v>242</v>
      </c>
      <c r="F46" s="6" t="s">
        <v>32</v>
      </c>
      <c r="G46" s="5">
        <v>82971.0</v>
      </c>
      <c r="H46" s="5">
        <v>107970.0</v>
      </c>
      <c r="I46" s="6" t="s">
        <v>240</v>
      </c>
      <c r="J46" s="6" t="s">
        <v>231</v>
      </c>
      <c r="K46" s="8">
        <v>0.13</v>
      </c>
    </row>
    <row r="47">
      <c r="A47" s="5">
        <v>8.132818425E9</v>
      </c>
      <c r="B47" s="5" t="str">
        <f t="array" ref="B47">INDEX(Sheet2!B:B, MATCH(A47, Sheet2!A:A, 0))
</f>
        <v>Ralstonia insidiosa 142550027-2</v>
      </c>
      <c r="C47" s="5"/>
      <c r="D47" s="6" t="s">
        <v>102</v>
      </c>
      <c r="E47" s="6" t="s">
        <v>243</v>
      </c>
      <c r="F47" s="6" t="s">
        <v>58</v>
      </c>
      <c r="G47" s="5">
        <v>28964.0</v>
      </c>
      <c r="H47" s="5">
        <v>41849.0</v>
      </c>
      <c r="I47" s="10"/>
      <c r="J47" s="10"/>
      <c r="K47" s="10"/>
    </row>
    <row r="48">
      <c r="A48" s="5">
        <v>8.133643943E9</v>
      </c>
      <c r="B48" s="5" t="str">
        <f t="array" ref="B48">INDEX(Sheet2!B:B, MATCH(A48, Sheet2!A:A, 0))
</f>
        <v>Methylorubrum extorquens 153480035-1</v>
      </c>
      <c r="C48" s="5"/>
      <c r="D48" s="6" t="s">
        <v>184</v>
      </c>
      <c r="E48" s="6" t="s">
        <v>228</v>
      </c>
      <c r="F48" s="6" t="s">
        <v>36</v>
      </c>
      <c r="G48" s="5">
        <v>263049.0</v>
      </c>
      <c r="H48" s="5">
        <v>283945.0</v>
      </c>
      <c r="I48" s="10"/>
      <c r="J48" s="10"/>
      <c r="K48" s="10"/>
    </row>
    <row r="49">
      <c r="A49" s="5">
        <v>8.133643943E9</v>
      </c>
      <c r="B49" s="5" t="str">
        <f t="array" ref="B49">INDEX(Sheet2!B:B, MATCH(A49, Sheet2!A:A, 0))
</f>
        <v>Methylorubrum extorquens 153480035-1</v>
      </c>
      <c r="C49" s="5"/>
      <c r="D49" s="6" t="s">
        <v>174</v>
      </c>
      <c r="E49" s="6" t="s">
        <v>255</v>
      </c>
      <c r="F49" s="6" t="s">
        <v>175</v>
      </c>
      <c r="G49" s="5">
        <v>140217.0</v>
      </c>
      <c r="H49" s="5">
        <v>160852.0</v>
      </c>
      <c r="I49" s="10"/>
      <c r="J49" s="10"/>
      <c r="K49" s="10"/>
    </row>
    <row r="50">
      <c r="A50" s="5">
        <v>8.133643943E9</v>
      </c>
      <c r="B50" s="5" t="str">
        <f t="array" ref="B50">INDEX(Sheet2!B:B, MATCH(A50, Sheet2!A:A, 0))
</f>
        <v>Methylorubrum extorquens 153480035-1</v>
      </c>
      <c r="C50" s="5"/>
      <c r="D50" s="6" t="s">
        <v>174</v>
      </c>
      <c r="E50" s="6" t="s">
        <v>256</v>
      </c>
      <c r="F50" s="6" t="s">
        <v>21</v>
      </c>
      <c r="G50" s="5">
        <v>258660.0</v>
      </c>
      <c r="H50" s="5">
        <v>302121.0</v>
      </c>
      <c r="I50" s="10"/>
      <c r="J50" s="10"/>
      <c r="K50" s="10"/>
    </row>
    <row r="51">
      <c r="A51" s="5">
        <v>8.133643943E9</v>
      </c>
      <c r="B51" s="5" t="str">
        <f t="array" ref="B51">INDEX(Sheet2!B:B, MATCH(A51, Sheet2!A:A, 0))
</f>
        <v>Methylorubrum extorquens 153480035-1</v>
      </c>
      <c r="C51" s="5"/>
      <c r="D51" s="6" t="s">
        <v>181</v>
      </c>
      <c r="E51" s="6" t="s">
        <v>238</v>
      </c>
      <c r="F51" s="6" t="s">
        <v>63</v>
      </c>
      <c r="G51" s="5">
        <v>148836.0</v>
      </c>
      <c r="H51" s="5">
        <v>171105.0</v>
      </c>
      <c r="I51" s="10"/>
      <c r="J51" s="10"/>
      <c r="K51" s="10"/>
    </row>
    <row r="52">
      <c r="A52" s="5">
        <v>8.133643943E9</v>
      </c>
      <c r="B52" s="5" t="str">
        <f t="array" ref="B52">INDEX(Sheet2!B:B, MATCH(A52, Sheet2!A:A, 0))
</f>
        <v>Methylorubrum extorquens 153480035-1</v>
      </c>
      <c r="C52" s="5"/>
      <c r="D52" s="6" t="s">
        <v>181</v>
      </c>
      <c r="E52" s="6" t="s">
        <v>257</v>
      </c>
      <c r="F52" s="6" t="s">
        <v>258</v>
      </c>
      <c r="G52" s="5">
        <v>215268.0</v>
      </c>
      <c r="H52" s="5">
        <v>262674.0</v>
      </c>
      <c r="I52" s="10"/>
      <c r="J52" s="10"/>
      <c r="K52" s="10"/>
    </row>
    <row r="53">
      <c r="A53" s="5">
        <v>8.133643943E9</v>
      </c>
      <c r="B53" s="5" t="str">
        <f t="array" ref="B53">INDEX(Sheet2!B:B, MATCH(A53, Sheet2!A:A, 0))
</f>
        <v>Methylorubrum extorquens 153480035-1</v>
      </c>
      <c r="C53" s="5"/>
      <c r="D53" s="6" t="s">
        <v>179</v>
      </c>
      <c r="E53" s="6" t="s">
        <v>259</v>
      </c>
      <c r="F53" s="6" t="s">
        <v>29</v>
      </c>
      <c r="G53" s="5">
        <v>147416.0</v>
      </c>
      <c r="H53" s="5">
        <v>180180.0</v>
      </c>
      <c r="I53" s="6" t="s">
        <v>260</v>
      </c>
      <c r="J53" s="6" t="s">
        <v>231</v>
      </c>
      <c r="K53" s="8">
        <v>0.25</v>
      </c>
    </row>
    <row r="54">
      <c r="A54" s="5">
        <v>8.133643943E9</v>
      </c>
      <c r="B54" s="5" t="str">
        <f t="array" ref="B54">INDEX(Sheet2!B:B, MATCH(A54, Sheet2!A:A, 0))
</f>
        <v>Methylorubrum extorquens 153480035-1</v>
      </c>
      <c r="C54" s="5"/>
      <c r="D54" s="6" t="s">
        <v>187</v>
      </c>
      <c r="E54" s="6" t="s">
        <v>239</v>
      </c>
      <c r="F54" s="6" t="s">
        <v>25</v>
      </c>
      <c r="G54" s="5">
        <v>168247.0</v>
      </c>
      <c r="H54" s="5">
        <v>200207.0</v>
      </c>
      <c r="I54" s="10"/>
      <c r="J54" s="10"/>
      <c r="K54" s="10"/>
    </row>
    <row r="55">
      <c r="A55" s="5">
        <v>8.133643943E9</v>
      </c>
      <c r="B55" s="5" t="str">
        <f t="array" ref="B55">INDEX(Sheet2!B:B, MATCH(A55, Sheet2!A:A, 0))
</f>
        <v>Methylorubrum extorquens 153480035-1</v>
      </c>
      <c r="C55" s="5"/>
      <c r="D55" s="6" t="s">
        <v>177</v>
      </c>
      <c r="E55" s="6" t="s">
        <v>261</v>
      </c>
      <c r="F55" s="6" t="s">
        <v>36</v>
      </c>
      <c r="G55" s="5">
        <v>120026.0</v>
      </c>
      <c r="H55" s="5">
        <v>141087.0</v>
      </c>
      <c r="I55" s="6" t="s">
        <v>226</v>
      </c>
      <c r="J55" s="6" t="s">
        <v>227</v>
      </c>
      <c r="K55" s="8">
        <v>1.0</v>
      </c>
    </row>
    <row r="56">
      <c r="A56" s="5">
        <v>8.13363548E9</v>
      </c>
      <c r="B56" s="5" t="str">
        <f t="array" ref="B56">INDEX(Sheet2!B:B, MATCH(A56, Sheet2!A:A, 0))
</f>
        <v>Ralstonia insidiosa 151470066-2</v>
      </c>
      <c r="C56" s="5"/>
      <c r="D56" s="6" t="s">
        <v>163</v>
      </c>
      <c r="E56" s="6" t="s">
        <v>228</v>
      </c>
      <c r="F56" s="6" t="s">
        <v>36</v>
      </c>
      <c r="G56" s="5">
        <v>437108.0</v>
      </c>
      <c r="H56" s="5">
        <v>457941.0</v>
      </c>
      <c r="I56" s="10"/>
      <c r="J56" s="10"/>
      <c r="K56" s="10"/>
    </row>
    <row r="57">
      <c r="A57" s="5">
        <v>8.13363548E9</v>
      </c>
      <c r="B57" s="5" t="str">
        <f t="array" ref="B57">INDEX(Sheet2!B:B, MATCH(A57, Sheet2!A:A, 0))
</f>
        <v>Ralstonia insidiosa 151470066-2</v>
      </c>
      <c r="C57" s="5"/>
      <c r="D57" s="6" t="s">
        <v>163</v>
      </c>
      <c r="E57" s="6" t="s">
        <v>229</v>
      </c>
      <c r="F57" s="6" t="s">
        <v>29</v>
      </c>
      <c r="G57" s="5">
        <v>460286.0</v>
      </c>
      <c r="H57" s="5">
        <v>490172.0</v>
      </c>
      <c r="I57" s="6" t="s">
        <v>230</v>
      </c>
      <c r="J57" s="6" t="s">
        <v>231</v>
      </c>
      <c r="K57" s="8">
        <v>0.62</v>
      </c>
    </row>
    <row r="58">
      <c r="A58" s="5">
        <v>8.13363548E9</v>
      </c>
      <c r="B58" s="5" t="str">
        <f t="array" ref="B58">INDEX(Sheet2!B:B, MATCH(A58, Sheet2!A:A, 0))
</f>
        <v>Ralstonia insidiosa 151470066-2</v>
      </c>
      <c r="C58" s="5"/>
      <c r="D58" s="6" t="s">
        <v>172</v>
      </c>
      <c r="E58" s="6" t="s">
        <v>222</v>
      </c>
      <c r="F58" s="6" t="s">
        <v>51</v>
      </c>
      <c r="G58" s="5">
        <v>567397.0</v>
      </c>
      <c r="H58" s="5">
        <v>615025.0</v>
      </c>
      <c r="I58" s="6" t="s">
        <v>232</v>
      </c>
      <c r="J58" s="6" t="s">
        <v>233</v>
      </c>
      <c r="K58" s="8">
        <v>0.05</v>
      </c>
    </row>
    <row r="59">
      <c r="A59" s="5">
        <v>8.13363548E9</v>
      </c>
      <c r="B59" s="5" t="str">
        <f t="array" ref="B59">INDEX(Sheet2!B:B, MATCH(A59, Sheet2!A:A, 0))
</f>
        <v>Ralstonia insidiosa 151470066-2</v>
      </c>
      <c r="C59" s="5"/>
      <c r="D59" s="6" t="s">
        <v>161</v>
      </c>
      <c r="E59" s="6" t="s">
        <v>234</v>
      </c>
      <c r="F59" s="6" t="s">
        <v>55</v>
      </c>
      <c r="G59" s="5">
        <v>70292.0</v>
      </c>
      <c r="H59" s="5">
        <v>111524.0</v>
      </c>
      <c r="I59" s="10"/>
      <c r="J59" s="10"/>
      <c r="K59" s="10"/>
    </row>
    <row r="60">
      <c r="A60" s="5">
        <v>8.13363548E9</v>
      </c>
      <c r="B60" s="5" t="str">
        <f t="array" ref="B60">INDEX(Sheet2!B:B, MATCH(A60, Sheet2!A:A, 0))
</f>
        <v>Ralstonia insidiosa 151470066-2</v>
      </c>
      <c r="C60" s="5"/>
      <c r="D60" s="6" t="s">
        <v>166</v>
      </c>
      <c r="E60" s="6" t="s">
        <v>235</v>
      </c>
      <c r="F60" s="6" t="s">
        <v>63</v>
      </c>
      <c r="G60" s="5">
        <v>136524.0</v>
      </c>
      <c r="H60" s="5">
        <v>158643.0</v>
      </c>
      <c r="I60" s="6" t="s">
        <v>236</v>
      </c>
      <c r="J60" s="6" t="s">
        <v>237</v>
      </c>
      <c r="K60" s="8">
        <v>0.13</v>
      </c>
    </row>
    <row r="61">
      <c r="A61" s="5">
        <v>8.13363548E9</v>
      </c>
      <c r="B61" s="5" t="str">
        <f t="array" ref="B61">INDEX(Sheet2!B:B, MATCH(A61, Sheet2!A:A, 0))
</f>
        <v>Ralstonia insidiosa 151470066-2</v>
      </c>
      <c r="C61" s="5"/>
      <c r="D61" s="6" t="s">
        <v>168</v>
      </c>
      <c r="E61" s="6" t="s">
        <v>238</v>
      </c>
      <c r="F61" s="6" t="s">
        <v>48</v>
      </c>
      <c r="G61" s="5">
        <v>285991.0</v>
      </c>
      <c r="H61" s="5">
        <v>296698.0</v>
      </c>
      <c r="I61" s="10"/>
      <c r="J61" s="10"/>
      <c r="K61" s="10"/>
    </row>
    <row r="62">
      <c r="A62" s="5">
        <v>8.13363548E9</v>
      </c>
      <c r="B62" s="5" t="str">
        <f t="array" ref="B62">INDEX(Sheet2!B:B, MATCH(A62, Sheet2!A:A, 0))
</f>
        <v>Ralstonia insidiosa 151470066-2</v>
      </c>
      <c r="C62" s="5"/>
      <c r="D62" s="6" t="s">
        <v>170</v>
      </c>
      <c r="E62" s="6" t="s">
        <v>239</v>
      </c>
      <c r="F62" s="6" t="s">
        <v>32</v>
      </c>
      <c r="G62" s="5">
        <v>71158.0</v>
      </c>
      <c r="H62" s="5">
        <v>96157.0</v>
      </c>
      <c r="I62" s="6" t="s">
        <v>240</v>
      </c>
      <c r="J62" s="6" t="s">
        <v>231</v>
      </c>
      <c r="K62" s="8">
        <v>0.13</v>
      </c>
    </row>
    <row r="63">
      <c r="A63" s="5">
        <v>8.13363548E9</v>
      </c>
      <c r="B63" s="5" t="str">
        <f t="array" ref="B63">INDEX(Sheet2!B:B, MATCH(A63, Sheet2!A:A, 0))
</f>
        <v>Ralstonia insidiosa 151470066-2</v>
      </c>
      <c r="C63" s="5"/>
      <c r="D63" s="6" t="s">
        <v>159</v>
      </c>
      <c r="E63" s="6" t="s">
        <v>241</v>
      </c>
      <c r="F63" s="6" t="s">
        <v>58</v>
      </c>
      <c r="G63" s="5">
        <v>28964.0</v>
      </c>
      <c r="H63" s="5">
        <v>41849.0</v>
      </c>
      <c r="I63" s="10"/>
      <c r="J63" s="10"/>
      <c r="K63" s="10"/>
    </row>
    <row r="64">
      <c r="A64" s="5">
        <v>8.133629549E9</v>
      </c>
      <c r="B64" s="5" t="str">
        <f t="array" ref="B64">INDEX(Sheet2!B:B, MATCH(A64, Sheet2!A:A, 0))
</f>
        <v>Ralstonia insidiosa 151470066-1</v>
      </c>
      <c r="C64" s="5"/>
      <c r="D64" s="6" t="s">
        <v>146</v>
      </c>
      <c r="E64" s="6" t="s">
        <v>228</v>
      </c>
      <c r="F64" s="6" t="s">
        <v>36</v>
      </c>
      <c r="G64" s="5">
        <v>437108.0</v>
      </c>
      <c r="H64" s="5">
        <v>457941.0</v>
      </c>
      <c r="I64" s="10"/>
      <c r="J64" s="10"/>
      <c r="K64" s="10"/>
    </row>
    <row r="65">
      <c r="A65" s="5">
        <v>8.133629549E9</v>
      </c>
      <c r="B65" s="5" t="str">
        <f t="array" ref="B65">INDEX(Sheet2!B:B, MATCH(A65, Sheet2!A:A, 0))
</f>
        <v>Ralstonia insidiosa 151470066-1</v>
      </c>
      <c r="C65" s="5"/>
      <c r="D65" s="6" t="s">
        <v>146</v>
      </c>
      <c r="E65" s="6" t="s">
        <v>229</v>
      </c>
      <c r="F65" s="6" t="s">
        <v>29</v>
      </c>
      <c r="G65" s="5">
        <v>460286.0</v>
      </c>
      <c r="H65" s="5">
        <v>490172.0</v>
      </c>
      <c r="I65" s="6" t="s">
        <v>230</v>
      </c>
      <c r="J65" s="6" t="s">
        <v>231</v>
      </c>
      <c r="K65" s="8">
        <v>0.62</v>
      </c>
    </row>
    <row r="66">
      <c r="A66" s="5">
        <v>8.133629549E9</v>
      </c>
      <c r="B66" s="5" t="str">
        <f t="array" ref="B66">INDEX(Sheet2!B:B, MATCH(A66, Sheet2!A:A, 0))
</f>
        <v>Ralstonia insidiosa 151470066-1</v>
      </c>
      <c r="C66" s="5"/>
      <c r="D66" s="6" t="s">
        <v>149</v>
      </c>
      <c r="E66" s="6" t="s">
        <v>222</v>
      </c>
      <c r="F66" s="6" t="s">
        <v>51</v>
      </c>
      <c r="G66" s="5">
        <v>567397.0</v>
      </c>
      <c r="H66" s="5">
        <v>615025.0</v>
      </c>
      <c r="I66" s="6" t="s">
        <v>232</v>
      </c>
      <c r="J66" s="6" t="s">
        <v>233</v>
      </c>
      <c r="K66" s="8">
        <v>0.05</v>
      </c>
    </row>
    <row r="67">
      <c r="A67" s="5">
        <v>8.133629549E9</v>
      </c>
      <c r="B67" s="5" t="str">
        <f t="array" ref="B67">INDEX(Sheet2!B:B, MATCH(A67, Sheet2!A:A, 0))
</f>
        <v>Ralstonia insidiosa 151470066-1</v>
      </c>
      <c r="C67" s="5"/>
      <c r="D67" s="6" t="s">
        <v>151</v>
      </c>
      <c r="E67" s="6" t="s">
        <v>234</v>
      </c>
      <c r="F67" s="6" t="s">
        <v>55</v>
      </c>
      <c r="G67" s="5">
        <v>256944.0</v>
      </c>
      <c r="H67" s="5">
        <v>298176.0</v>
      </c>
      <c r="I67" s="10"/>
      <c r="J67" s="10"/>
      <c r="K67" s="10"/>
    </row>
    <row r="68">
      <c r="A68" s="5">
        <v>8.133629549E9</v>
      </c>
      <c r="B68" s="5" t="str">
        <f t="array" ref="B68">INDEX(Sheet2!B:B, MATCH(A68, Sheet2!A:A, 0))
</f>
        <v>Ralstonia insidiosa 151470066-1</v>
      </c>
      <c r="C68" s="5"/>
      <c r="D68" s="6" t="s">
        <v>153</v>
      </c>
      <c r="E68" s="6" t="s">
        <v>235</v>
      </c>
      <c r="F68" s="6" t="s">
        <v>63</v>
      </c>
      <c r="G68" s="5">
        <v>136524.0</v>
      </c>
      <c r="H68" s="5">
        <v>158643.0</v>
      </c>
      <c r="I68" s="6" t="s">
        <v>236</v>
      </c>
      <c r="J68" s="6" t="s">
        <v>237</v>
      </c>
      <c r="K68" s="8">
        <v>0.13</v>
      </c>
    </row>
    <row r="69">
      <c r="A69" s="5">
        <v>8.133629549E9</v>
      </c>
      <c r="B69" s="5" t="str">
        <f t="array" ref="B69">INDEX(Sheet2!B:B, MATCH(A69, Sheet2!A:A, 0))
</f>
        <v>Ralstonia insidiosa 151470066-1</v>
      </c>
      <c r="C69" s="5"/>
      <c r="D69" s="6" t="s">
        <v>155</v>
      </c>
      <c r="E69" s="6" t="s">
        <v>238</v>
      </c>
      <c r="F69" s="6" t="s">
        <v>48</v>
      </c>
      <c r="G69" s="5">
        <v>285991.0</v>
      </c>
      <c r="H69" s="5">
        <v>296698.0</v>
      </c>
      <c r="I69" s="10"/>
      <c r="J69" s="10"/>
      <c r="K69" s="10"/>
    </row>
    <row r="70">
      <c r="A70" s="5">
        <v>8.133629549E9</v>
      </c>
      <c r="B70" s="5" t="str">
        <f t="array" ref="B70">INDEX(Sheet2!B:B, MATCH(A70, Sheet2!A:A, 0))
</f>
        <v>Ralstonia insidiosa 151470066-1</v>
      </c>
      <c r="C70" s="5"/>
      <c r="D70" s="6" t="s">
        <v>157</v>
      </c>
      <c r="E70" s="6" t="s">
        <v>239</v>
      </c>
      <c r="F70" s="6" t="s">
        <v>32</v>
      </c>
      <c r="G70" s="5">
        <v>71158.0</v>
      </c>
      <c r="H70" s="5">
        <v>96157.0</v>
      </c>
      <c r="I70" s="6" t="s">
        <v>240</v>
      </c>
      <c r="J70" s="6" t="s">
        <v>231</v>
      </c>
      <c r="K70" s="8">
        <v>0.13</v>
      </c>
    </row>
    <row r="71">
      <c r="A71" s="5">
        <v>8.133629549E9</v>
      </c>
      <c r="B71" s="5" t="str">
        <f t="array" ref="B71">INDEX(Sheet2!B:B, MATCH(A71, Sheet2!A:A, 0))
</f>
        <v>Ralstonia insidiosa 151470066-1</v>
      </c>
      <c r="C71" s="5"/>
      <c r="D71" s="6" t="s">
        <v>144</v>
      </c>
      <c r="E71" s="6" t="s">
        <v>241</v>
      </c>
      <c r="F71" s="6" t="s">
        <v>58</v>
      </c>
      <c r="G71" s="5">
        <v>28964.0</v>
      </c>
      <c r="H71" s="5">
        <v>41849.0</v>
      </c>
      <c r="I71" s="10"/>
      <c r="J71" s="10"/>
      <c r="K71" s="10"/>
    </row>
    <row r="72">
      <c r="A72" s="5">
        <v>8.132595571E9</v>
      </c>
      <c r="B72" s="5" t="str">
        <f t="array" ref="B72">INDEX(Sheet2!B:B, MATCH(A72, Sheet2!A:A, 0))
</f>
        <v>Ralstonia insidiosa 123250053-1</v>
      </c>
      <c r="C72" s="5"/>
      <c r="D72" s="6" t="s">
        <v>67</v>
      </c>
      <c r="E72" s="6" t="s">
        <v>228</v>
      </c>
      <c r="F72" s="6" t="s">
        <v>36</v>
      </c>
      <c r="G72" s="5">
        <v>437108.0</v>
      </c>
      <c r="H72" s="5">
        <v>457941.0</v>
      </c>
      <c r="I72" s="10"/>
      <c r="J72" s="10"/>
      <c r="K72" s="10"/>
    </row>
    <row r="73">
      <c r="A73" s="5">
        <v>8.132595571E9</v>
      </c>
      <c r="B73" s="5" t="str">
        <f t="array" ref="B73">INDEX(Sheet2!B:B, MATCH(A73, Sheet2!A:A, 0))
</f>
        <v>Ralstonia insidiosa 123250053-1</v>
      </c>
      <c r="C73" s="5"/>
      <c r="D73" s="6" t="s">
        <v>67</v>
      </c>
      <c r="E73" s="6" t="s">
        <v>229</v>
      </c>
      <c r="F73" s="6" t="s">
        <v>29</v>
      </c>
      <c r="G73" s="5">
        <v>460286.0</v>
      </c>
      <c r="H73" s="5">
        <v>490172.0</v>
      </c>
      <c r="I73" s="6" t="s">
        <v>230</v>
      </c>
      <c r="J73" s="6" t="s">
        <v>231</v>
      </c>
      <c r="K73" s="8">
        <v>0.62</v>
      </c>
    </row>
    <row r="74">
      <c r="A74" s="5">
        <v>8.132595571E9</v>
      </c>
      <c r="B74" s="5" t="str">
        <f t="array" ref="B74">INDEX(Sheet2!B:B, MATCH(A74, Sheet2!A:A, 0))
</f>
        <v>Ralstonia insidiosa 123250053-1</v>
      </c>
      <c r="C74" s="5"/>
      <c r="D74" s="6" t="s">
        <v>74</v>
      </c>
      <c r="E74" s="6" t="s">
        <v>222</v>
      </c>
      <c r="F74" s="6" t="s">
        <v>51</v>
      </c>
      <c r="G74" s="5">
        <v>32507.0</v>
      </c>
      <c r="H74" s="5">
        <v>80135.0</v>
      </c>
      <c r="I74" s="6" t="s">
        <v>232</v>
      </c>
      <c r="J74" s="6" t="s">
        <v>233</v>
      </c>
      <c r="K74" s="8">
        <v>0.05</v>
      </c>
    </row>
    <row r="75">
      <c r="A75" s="5">
        <v>8.132595571E9</v>
      </c>
      <c r="B75" s="5" t="str">
        <f t="array" ref="B75">INDEX(Sheet2!B:B, MATCH(A75, Sheet2!A:A, 0))
</f>
        <v>Ralstonia insidiosa 123250053-1</v>
      </c>
      <c r="C75" s="5"/>
      <c r="D75" s="6" t="s">
        <v>78</v>
      </c>
      <c r="E75" s="6" t="s">
        <v>234</v>
      </c>
      <c r="F75" s="6" t="s">
        <v>55</v>
      </c>
      <c r="G75" s="5">
        <v>70292.0</v>
      </c>
      <c r="H75" s="5">
        <v>111524.0</v>
      </c>
      <c r="I75" s="10"/>
      <c r="J75" s="10"/>
      <c r="K75" s="10"/>
    </row>
    <row r="76">
      <c r="A76" s="5">
        <v>8.132595571E9</v>
      </c>
      <c r="B76" s="5" t="str">
        <f t="array" ref="B76">INDEX(Sheet2!B:B, MATCH(A76, Sheet2!A:A, 0))
</f>
        <v>Ralstonia insidiosa 123250053-1</v>
      </c>
      <c r="C76" s="5"/>
      <c r="D76" s="6" t="s">
        <v>65</v>
      </c>
      <c r="E76" s="6" t="s">
        <v>235</v>
      </c>
      <c r="F76" s="6" t="s">
        <v>63</v>
      </c>
      <c r="G76" s="5">
        <v>152062.0</v>
      </c>
      <c r="H76" s="5">
        <v>174181.0</v>
      </c>
      <c r="I76" s="6" t="s">
        <v>236</v>
      </c>
      <c r="J76" s="6" t="s">
        <v>237</v>
      </c>
      <c r="K76" s="8">
        <v>0.13</v>
      </c>
    </row>
    <row r="77">
      <c r="A77" s="5">
        <v>8.132595571E9</v>
      </c>
      <c r="B77" s="5" t="str">
        <f t="array" ref="B77">INDEX(Sheet2!B:B, MATCH(A77, Sheet2!A:A, 0))
</f>
        <v>Ralstonia insidiosa 123250053-1</v>
      </c>
      <c r="C77" s="5"/>
      <c r="D77" s="6" t="s">
        <v>71</v>
      </c>
      <c r="E77" s="6" t="s">
        <v>238</v>
      </c>
      <c r="F77" s="6" t="s">
        <v>48</v>
      </c>
      <c r="G77" s="5">
        <v>5985.0</v>
      </c>
      <c r="H77" s="5">
        <v>16692.0</v>
      </c>
      <c r="I77" s="10"/>
      <c r="J77" s="10"/>
      <c r="K77" s="10"/>
    </row>
    <row r="78">
      <c r="A78" s="5">
        <v>8.132595571E9</v>
      </c>
      <c r="B78" s="5" t="str">
        <f t="array" ref="B78">INDEX(Sheet2!B:B, MATCH(A78, Sheet2!A:A, 0))
</f>
        <v>Ralstonia insidiosa 123250053-1</v>
      </c>
      <c r="C78" s="5"/>
      <c r="D78" s="6" t="s">
        <v>69</v>
      </c>
      <c r="E78" s="6" t="s">
        <v>239</v>
      </c>
      <c r="F78" s="6" t="s">
        <v>32</v>
      </c>
      <c r="G78" s="5">
        <v>71158.0</v>
      </c>
      <c r="H78" s="5">
        <v>96157.0</v>
      </c>
      <c r="I78" s="6" t="s">
        <v>240</v>
      </c>
      <c r="J78" s="6" t="s">
        <v>231</v>
      </c>
      <c r="K78" s="8">
        <v>0.13</v>
      </c>
    </row>
    <row r="79">
      <c r="A79" s="5">
        <v>8.132595571E9</v>
      </c>
      <c r="B79" s="5" t="str">
        <f t="array" ref="B79">INDEX(Sheet2!B:B, MATCH(A79, Sheet2!A:A, 0))
</f>
        <v>Ralstonia insidiosa 123250053-1</v>
      </c>
      <c r="C79" s="5"/>
      <c r="D79" s="6" t="s">
        <v>76</v>
      </c>
      <c r="E79" s="6" t="s">
        <v>241</v>
      </c>
      <c r="F79" s="6" t="s">
        <v>58</v>
      </c>
      <c r="G79" s="5">
        <v>58069.0</v>
      </c>
      <c r="H79" s="5">
        <v>70954.0</v>
      </c>
      <c r="I79" s="10"/>
      <c r="J79" s="10"/>
      <c r="K79" s="10"/>
    </row>
    <row r="80">
      <c r="A80" s="5">
        <v>8.135715517E9</v>
      </c>
      <c r="B80" s="5" t="str">
        <f t="array" ref="B80">INDEX(Sheet2!B:B, MATCH(A80, Sheet2!A:A, 0))
</f>
        <v>Kocuria marina F10_7S_D2_EB4</v>
      </c>
      <c r="C80" s="5"/>
      <c r="D80" s="6" t="s">
        <v>200</v>
      </c>
      <c r="E80" s="6" t="s">
        <v>217</v>
      </c>
      <c r="F80" s="6" t="s">
        <v>32</v>
      </c>
      <c r="G80" s="5">
        <v>46043.0</v>
      </c>
      <c r="H80" s="5">
        <v>72912.0</v>
      </c>
      <c r="I80" s="6" t="s">
        <v>223</v>
      </c>
      <c r="J80" s="6" t="s">
        <v>224</v>
      </c>
      <c r="K80" s="8">
        <v>0.07</v>
      </c>
    </row>
    <row r="81">
      <c r="A81" s="5">
        <v>8.135715517E9</v>
      </c>
      <c r="B81" s="5" t="str">
        <f t="array" ref="B81">INDEX(Sheet2!B:B, MATCH(A81, Sheet2!A:A, 0))
</f>
        <v>Kocuria marina F10_7S_D2_EB4</v>
      </c>
      <c r="C81" s="5"/>
      <c r="D81" s="6" t="s">
        <v>200</v>
      </c>
      <c r="E81" s="6" t="s">
        <v>220</v>
      </c>
      <c r="F81" s="6" t="s">
        <v>25</v>
      </c>
      <c r="G81" s="5">
        <v>495529.0</v>
      </c>
      <c r="H81" s="5">
        <v>529632.0</v>
      </c>
      <c r="I81" s="10"/>
      <c r="J81" s="10"/>
      <c r="K81" s="10"/>
    </row>
    <row r="82">
      <c r="A82" s="5">
        <v>8.135715517E9</v>
      </c>
      <c r="B82" s="5" t="str">
        <f t="array" ref="B82">INDEX(Sheet2!B:B, MATCH(A82, Sheet2!A:A, 0))
</f>
        <v>Kocuria marina F10_7S_D2_EB4</v>
      </c>
      <c r="C82" s="5"/>
      <c r="D82" s="6" t="s">
        <v>200</v>
      </c>
      <c r="E82" s="6" t="s">
        <v>221</v>
      </c>
      <c r="F82" s="6" t="s">
        <v>29</v>
      </c>
      <c r="G82" s="5">
        <v>560161.0</v>
      </c>
      <c r="H82" s="5">
        <v>589987.0</v>
      </c>
      <c r="I82" s="6" t="s">
        <v>262</v>
      </c>
      <c r="J82" s="6" t="s">
        <v>231</v>
      </c>
      <c r="K82" s="8">
        <v>0.25</v>
      </c>
    </row>
    <row r="83">
      <c r="A83" s="5">
        <v>8.135715517E9</v>
      </c>
      <c r="B83" s="5" t="str">
        <f t="array" ref="B83">INDEX(Sheet2!B:B, MATCH(A83, Sheet2!A:A, 0))
</f>
        <v>Kocuria marina F10_7S_D2_EB4</v>
      </c>
      <c r="C83" s="5"/>
      <c r="D83" s="6" t="s">
        <v>203</v>
      </c>
      <c r="E83" s="6" t="s">
        <v>222</v>
      </c>
      <c r="F83" s="6" t="s">
        <v>27</v>
      </c>
      <c r="G83" s="5">
        <v>50717.0</v>
      </c>
      <c r="H83" s="5">
        <v>91943.0</v>
      </c>
      <c r="I83" s="10"/>
      <c r="J83" s="10"/>
      <c r="K83" s="10"/>
    </row>
    <row r="84">
      <c r="A84" s="5">
        <v>8.135715517E9</v>
      </c>
      <c r="B84" s="5" t="str">
        <f t="array" ref="B84">INDEX(Sheet2!B:B, MATCH(A84, Sheet2!A:A, 0))
</f>
        <v>Kocuria marina F10_7S_D2_EB4</v>
      </c>
      <c r="C84" s="5"/>
      <c r="D84" s="6" t="s">
        <v>206</v>
      </c>
      <c r="E84" s="6" t="s">
        <v>235</v>
      </c>
      <c r="F84" s="6" t="s">
        <v>36</v>
      </c>
      <c r="G84" s="5">
        <v>136678.0</v>
      </c>
      <c r="H84" s="5">
        <v>157577.0</v>
      </c>
      <c r="I84" s="6" t="s">
        <v>226</v>
      </c>
      <c r="J84" s="6" t="s">
        <v>227</v>
      </c>
      <c r="K84" s="8">
        <v>0.37</v>
      </c>
    </row>
    <row r="85">
      <c r="A85" s="5">
        <v>8.132551458E9</v>
      </c>
      <c r="B85" s="5" t="str">
        <f t="array" ref="B85">INDEX(Sheet2!B:B, MATCH(A85, Sheet2!A:A, 0))
</f>
        <v>Ralstonia insidiosa 121560039-2</v>
      </c>
      <c r="C85" s="5"/>
      <c r="D85" s="6" t="s">
        <v>45</v>
      </c>
      <c r="E85" s="6" t="s">
        <v>217</v>
      </c>
      <c r="F85" s="6" t="s">
        <v>36</v>
      </c>
      <c r="G85" s="5">
        <v>437107.0</v>
      </c>
      <c r="H85" s="5">
        <v>457940.0</v>
      </c>
      <c r="I85" s="10"/>
      <c r="J85" s="10"/>
      <c r="K85" s="10"/>
    </row>
    <row r="86">
      <c r="A86" s="5">
        <v>8.132551458E9</v>
      </c>
      <c r="B86" s="5" t="str">
        <f t="array" ref="B86">INDEX(Sheet2!B:B, MATCH(A86, Sheet2!A:A, 0))
</f>
        <v>Ralstonia insidiosa 121560039-2</v>
      </c>
      <c r="C86" s="5"/>
      <c r="D86" s="6" t="s">
        <v>45</v>
      </c>
      <c r="E86" s="6" t="s">
        <v>220</v>
      </c>
      <c r="F86" s="6" t="s">
        <v>29</v>
      </c>
      <c r="G86" s="5">
        <v>460285.0</v>
      </c>
      <c r="H86" s="5">
        <v>490171.0</v>
      </c>
      <c r="I86" s="6" t="s">
        <v>230</v>
      </c>
      <c r="J86" s="6" t="s">
        <v>231</v>
      </c>
      <c r="K86" s="8">
        <v>0.62</v>
      </c>
    </row>
    <row r="87">
      <c r="A87" s="5">
        <v>8.132551458E9</v>
      </c>
      <c r="B87" s="5" t="str">
        <f t="array" ref="B87">INDEX(Sheet2!B:B, MATCH(A87, Sheet2!A:A, 0))
</f>
        <v>Ralstonia insidiosa 121560039-2</v>
      </c>
      <c r="C87" s="5"/>
      <c r="D87" s="6" t="s">
        <v>54</v>
      </c>
      <c r="E87" s="6" t="s">
        <v>222</v>
      </c>
      <c r="F87" s="6" t="s">
        <v>55</v>
      </c>
      <c r="G87" s="5">
        <v>70292.0</v>
      </c>
      <c r="H87" s="5">
        <v>111524.0</v>
      </c>
      <c r="I87" s="10"/>
      <c r="J87" s="10"/>
      <c r="K87" s="10"/>
    </row>
    <row r="88">
      <c r="A88" s="5">
        <v>8.132551458E9</v>
      </c>
      <c r="B88" s="5" t="str">
        <f t="array" ref="B88">INDEX(Sheet2!B:B, MATCH(A88, Sheet2!A:A, 0))
</f>
        <v>Ralstonia insidiosa 121560039-2</v>
      </c>
      <c r="C88" s="5"/>
      <c r="D88" s="6" t="s">
        <v>50</v>
      </c>
      <c r="E88" s="6" t="s">
        <v>234</v>
      </c>
      <c r="F88" s="6" t="s">
        <v>51</v>
      </c>
      <c r="G88" s="5">
        <v>32507.0</v>
      </c>
      <c r="H88" s="5">
        <v>80135.0</v>
      </c>
      <c r="I88" s="6" t="s">
        <v>232</v>
      </c>
      <c r="J88" s="6" t="s">
        <v>233</v>
      </c>
      <c r="K88" s="8">
        <v>0.05</v>
      </c>
    </row>
    <row r="89">
      <c r="A89" s="5">
        <v>8.132551458E9</v>
      </c>
      <c r="B89" s="5" t="str">
        <f t="array" ref="B89">INDEX(Sheet2!B:B, MATCH(A89, Sheet2!A:A, 0))
</f>
        <v>Ralstonia insidiosa 121560039-2</v>
      </c>
      <c r="C89" s="5"/>
      <c r="D89" s="6" t="s">
        <v>62</v>
      </c>
      <c r="E89" s="6" t="s">
        <v>235</v>
      </c>
      <c r="F89" s="6" t="s">
        <v>63</v>
      </c>
      <c r="G89" s="5">
        <v>136753.0</v>
      </c>
      <c r="H89" s="5">
        <v>158872.0</v>
      </c>
      <c r="I89" s="6" t="s">
        <v>236</v>
      </c>
      <c r="J89" s="6" t="s">
        <v>237</v>
      </c>
      <c r="K89" s="8">
        <v>0.13</v>
      </c>
    </row>
    <row r="90">
      <c r="A90" s="5">
        <v>8.132551458E9</v>
      </c>
      <c r="B90" s="5" t="str">
        <f t="array" ref="B90">INDEX(Sheet2!B:B, MATCH(A90, Sheet2!A:A, 0))
</f>
        <v>Ralstonia insidiosa 121560039-2</v>
      </c>
      <c r="C90" s="5"/>
      <c r="D90" s="6" t="s">
        <v>47</v>
      </c>
      <c r="E90" s="6" t="s">
        <v>225</v>
      </c>
      <c r="F90" s="6" t="s">
        <v>48</v>
      </c>
      <c r="G90" s="5">
        <v>285991.0</v>
      </c>
      <c r="H90" s="5">
        <v>296698.0</v>
      </c>
      <c r="I90" s="10"/>
      <c r="J90" s="10"/>
      <c r="K90" s="10"/>
    </row>
    <row r="91">
      <c r="A91" s="5">
        <v>8.132551458E9</v>
      </c>
      <c r="B91" s="5" t="str">
        <f t="array" ref="B91">INDEX(Sheet2!B:B, MATCH(A91, Sheet2!A:A, 0))
</f>
        <v>Ralstonia insidiosa 121560039-2</v>
      </c>
      <c r="C91" s="5"/>
      <c r="D91" s="6" t="s">
        <v>60</v>
      </c>
      <c r="E91" s="6" t="s">
        <v>242</v>
      </c>
      <c r="F91" s="6" t="s">
        <v>32</v>
      </c>
      <c r="G91" s="5">
        <v>71157.0</v>
      </c>
      <c r="H91" s="5">
        <v>96156.0</v>
      </c>
      <c r="I91" s="6" t="s">
        <v>240</v>
      </c>
      <c r="J91" s="6" t="s">
        <v>231</v>
      </c>
      <c r="K91" s="8">
        <v>0.13</v>
      </c>
    </row>
    <row r="92">
      <c r="A92" s="5">
        <v>8.132551458E9</v>
      </c>
      <c r="B92" s="5" t="str">
        <f t="array" ref="B92">INDEX(Sheet2!B:B, MATCH(A92, Sheet2!A:A, 0))
</f>
        <v>Ralstonia insidiosa 121560039-2</v>
      </c>
      <c r="C92" s="5"/>
      <c r="D92" s="6" t="s">
        <v>57</v>
      </c>
      <c r="E92" s="6" t="s">
        <v>241</v>
      </c>
      <c r="F92" s="6" t="s">
        <v>58</v>
      </c>
      <c r="G92" s="5">
        <v>58069.0</v>
      </c>
      <c r="H92" s="5">
        <v>70954.0</v>
      </c>
      <c r="I92" s="10"/>
      <c r="J92" s="10"/>
      <c r="K92" s="10"/>
    </row>
    <row r="93">
      <c r="A93" s="5">
        <v>8.134898396E9</v>
      </c>
      <c r="B93" s="5" t="str">
        <f t="array" ref="B93">INDEX(Sheet2!B:B, MATCH(A93, Sheet2!A:A, 0))
</f>
        <v>Staphylococcus warneri 140720001-1</v>
      </c>
      <c r="C93" s="5"/>
      <c r="D93" s="6" t="s">
        <v>197</v>
      </c>
      <c r="E93" s="6" t="s">
        <v>228</v>
      </c>
      <c r="F93" s="6" t="s">
        <v>29</v>
      </c>
      <c r="G93" s="5">
        <v>810.0</v>
      </c>
      <c r="H93" s="5">
        <v>33797.0</v>
      </c>
      <c r="I93" s="6" t="s">
        <v>248</v>
      </c>
      <c r="J93" s="6" t="s">
        <v>249</v>
      </c>
      <c r="K93" s="8">
        <v>1.0</v>
      </c>
    </row>
    <row r="94">
      <c r="A94" s="5">
        <v>8.134898396E9</v>
      </c>
      <c r="B94" s="5" t="str">
        <f t="array" ref="B94">INDEX(Sheet2!B:B, MATCH(A94, Sheet2!A:A, 0))
</f>
        <v>Staphylococcus warneri 140720001-1</v>
      </c>
      <c r="C94" s="5"/>
      <c r="D94" s="6" t="s">
        <v>197</v>
      </c>
      <c r="E94" s="6" t="s">
        <v>229</v>
      </c>
      <c r="F94" s="6" t="s">
        <v>263</v>
      </c>
      <c r="G94" s="5">
        <v>358222.0</v>
      </c>
      <c r="H94" s="5">
        <v>405244.0</v>
      </c>
      <c r="I94" s="10"/>
      <c r="J94" s="10"/>
      <c r="K94" s="10"/>
    </row>
    <row r="95">
      <c r="A95" s="5">
        <v>8.134898396E9</v>
      </c>
      <c r="B95" s="5" t="str">
        <f t="array" ref="B95">INDEX(Sheet2!B:B, MATCH(A95, Sheet2!A:A, 0))
</f>
        <v>Staphylococcus warneri 140720001-1</v>
      </c>
      <c r="C95" s="5"/>
      <c r="D95" s="6" t="s">
        <v>195</v>
      </c>
      <c r="E95" s="6" t="s">
        <v>235</v>
      </c>
      <c r="F95" s="6" t="s">
        <v>43</v>
      </c>
      <c r="G95" s="5">
        <v>16637.0</v>
      </c>
      <c r="H95" s="5">
        <v>37372.0</v>
      </c>
      <c r="I95" s="6" t="s">
        <v>246</v>
      </c>
      <c r="J95" s="6" t="s">
        <v>231</v>
      </c>
      <c r="K95" s="8">
        <v>0.06</v>
      </c>
    </row>
    <row r="177">
      <c r="A177" s="11"/>
      <c r="B177" s="11"/>
      <c r="C177" s="11"/>
      <c r="J177" s="12"/>
    </row>
    <row r="178">
      <c r="I178" s="12"/>
      <c r="J178" s="12"/>
    </row>
    <row r="179">
      <c r="A179" s="11"/>
      <c r="B179" s="11"/>
      <c r="C179" s="11"/>
      <c r="I179" s="12"/>
      <c r="J179" s="12"/>
    </row>
    <row r="180">
      <c r="A180" s="11"/>
      <c r="B180" s="11"/>
      <c r="C180" s="11"/>
      <c r="J180" s="12"/>
    </row>
    <row r="181">
      <c r="I181" s="12"/>
      <c r="J181" s="12"/>
    </row>
    <row r="182">
      <c r="A182" s="11"/>
      <c r="B182" s="11"/>
      <c r="C182" s="11"/>
      <c r="I182" s="12"/>
      <c r="J182" s="12"/>
    </row>
    <row r="243">
      <c r="I243" s="12"/>
      <c r="J243" s="12"/>
    </row>
    <row r="244">
      <c r="A244" s="11"/>
      <c r="B244" s="11"/>
      <c r="C244" s="11"/>
      <c r="I244" s="12"/>
      <c r="J244" s="12"/>
    </row>
    <row r="245">
      <c r="I245" s="12"/>
      <c r="J245" s="12"/>
    </row>
    <row r="246">
      <c r="A246" s="11"/>
      <c r="B246" s="11"/>
      <c r="C246" s="11"/>
      <c r="I246" s="12"/>
      <c r="J246" s="12"/>
    </row>
    <row r="247">
      <c r="A247" s="11"/>
      <c r="B247" s="11"/>
      <c r="C247" s="11"/>
      <c r="I247" s="12"/>
      <c r="J247" s="12"/>
    </row>
    <row r="248">
      <c r="I248" s="12"/>
      <c r="J248" s="12"/>
    </row>
    <row r="249">
      <c r="A249" s="11"/>
      <c r="B249" s="11"/>
      <c r="C249" s="11"/>
      <c r="I249" s="12"/>
      <c r="J249" s="12"/>
    </row>
    <row r="250">
      <c r="I250" s="12"/>
      <c r="J250" s="12"/>
    </row>
    <row r="251">
      <c r="I251" s="12"/>
      <c r="J251" s="12"/>
    </row>
    <row r="252">
      <c r="A252" s="11"/>
      <c r="B252" s="11"/>
      <c r="C252" s="11"/>
      <c r="I252" s="12"/>
      <c r="J252" s="12"/>
    </row>
    <row r="253">
      <c r="I253" s="12"/>
      <c r="J253" s="12"/>
    </row>
    <row r="254">
      <c r="A254" s="11"/>
      <c r="B254" s="11"/>
      <c r="C254" s="11"/>
      <c r="I254" s="12"/>
      <c r="J254" s="12"/>
    </row>
    <row r="255">
      <c r="A255" s="11"/>
      <c r="B255" s="11"/>
      <c r="C255" s="11"/>
      <c r="I255" s="12"/>
      <c r="J255" s="12"/>
    </row>
    <row r="256">
      <c r="I256" s="12"/>
      <c r="J256" s="12"/>
    </row>
    <row r="257">
      <c r="A257" s="11"/>
      <c r="B257" s="11"/>
      <c r="C257" s="11"/>
      <c r="I257" s="12"/>
      <c r="J257" s="12"/>
    </row>
    <row r="258">
      <c r="I258" s="12"/>
      <c r="J258" s="12"/>
    </row>
    <row r="419">
      <c r="A419" s="11"/>
      <c r="B419" s="11"/>
      <c r="C419" s="11"/>
      <c r="I419" s="12"/>
      <c r="J419" s="12"/>
    </row>
    <row r="420">
      <c r="I420" s="12"/>
      <c r="J420" s="12"/>
    </row>
    <row r="421">
      <c r="I421" s="12"/>
      <c r="J421" s="12"/>
    </row>
    <row r="422">
      <c r="A422" s="11"/>
      <c r="B422" s="11"/>
      <c r="C422" s="11"/>
      <c r="I422" s="12"/>
      <c r="J422" s="12"/>
    </row>
    <row r="423">
      <c r="I423" s="12"/>
      <c r="J423" s="12"/>
    </row>
    <row r="424">
      <c r="I424" s="12"/>
      <c r="J424" s="12"/>
    </row>
    <row r="479">
      <c r="A479" s="11"/>
      <c r="B479" s="11"/>
      <c r="C479" s="11"/>
      <c r="I479" s="12"/>
      <c r="J479" s="12"/>
    </row>
    <row r="480">
      <c r="A480" s="11"/>
      <c r="B480" s="11"/>
      <c r="C480" s="11"/>
      <c r="I480" s="12"/>
      <c r="J480" s="12"/>
    </row>
    <row r="501">
      <c r="A501" s="11"/>
      <c r="B501" s="11"/>
      <c r="C501" s="11"/>
      <c r="I501" s="12"/>
      <c r="J501" s="12"/>
    </row>
    <row r="502">
      <c r="A502" s="11"/>
      <c r="B502" s="11"/>
      <c r="C502" s="11"/>
      <c r="I502" s="12"/>
      <c r="J502" s="12"/>
    </row>
    <row r="523">
      <c r="I523" s="12"/>
      <c r="J523" s="12"/>
    </row>
    <row r="524">
      <c r="A524" s="11"/>
      <c r="B524" s="11"/>
      <c r="C524" s="11"/>
      <c r="I524" s="12"/>
      <c r="J524" s="12"/>
    </row>
    <row r="525">
      <c r="A525" s="11"/>
      <c r="B525" s="11"/>
      <c r="C525" s="11"/>
      <c r="I525" s="12"/>
      <c r="J525" s="12"/>
    </row>
    <row r="526">
      <c r="I526" s="12"/>
      <c r="J526" s="12"/>
    </row>
    <row r="527">
      <c r="A527" s="11"/>
      <c r="B527" s="11"/>
      <c r="C527" s="11"/>
      <c r="I527" s="12"/>
      <c r="J527" s="12"/>
    </row>
    <row r="528">
      <c r="A528" s="11"/>
      <c r="B528" s="11"/>
      <c r="C528" s="11"/>
      <c r="I528" s="12"/>
      <c r="J528" s="12"/>
    </row>
    <row r="589">
      <c r="I589" s="12"/>
      <c r="J589" s="12"/>
    </row>
    <row r="590">
      <c r="I590" s="12"/>
      <c r="J590" s="12"/>
    </row>
    <row r="611">
      <c r="I611" s="12"/>
      <c r="J611" s="12"/>
    </row>
    <row r="612">
      <c r="A612" s="11"/>
      <c r="B612" s="11"/>
      <c r="C612" s="11"/>
      <c r="I612" s="12"/>
      <c r="J612" s="12"/>
    </row>
    <row r="613">
      <c r="A613" s="11"/>
      <c r="B613" s="11"/>
      <c r="C613" s="11"/>
      <c r="I613" s="12"/>
      <c r="J613" s="12"/>
    </row>
    <row r="614">
      <c r="I614" s="12"/>
      <c r="J614" s="12"/>
    </row>
    <row r="615">
      <c r="A615" s="11"/>
      <c r="B615" s="11"/>
      <c r="C615" s="11"/>
      <c r="I615" s="12"/>
      <c r="J615" s="12"/>
    </row>
    <row r="616">
      <c r="I616" s="12"/>
      <c r="J616" s="12"/>
    </row>
    <row r="617">
      <c r="A617" s="11"/>
      <c r="B617" s="11"/>
      <c r="C617" s="11"/>
      <c r="I617" s="12"/>
      <c r="J617" s="12"/>
    </row>
    <row r="618">
      <c r="I618" s="12"/>
      <c r="J618" s="12"/>
    </row>
    <row r="619">
      <c r="I619" s="12"/>
      <c r="J619" s="12"/>
    </row>
    <row r="620">
      <c r="A620" s="11"/>
      <c r="B620" s="11"/>
      <c r="C620" s="11"/>
      <c r="I620" s="12"/>
      <c r="J620" s="12"/>
    </row>
    <row r="621">
      <c r="A621" s="11"/>
      <c r="B621" s="11"/>
      <c r="C621" s="11"/>
      <c r="I621" s="12"/>
      <c r="J621" s="12"/>
    </row>
    <row r="622">
      <c r="I622" s="12"/>
      <c r="J622" s="12"/>
    </row>
    <row r="623">
      <c r="A623" s="11"/>
      <c r="B623" s="11"/>
      <c r="C623" s="11"/>
      <c r="I623" s="12"/>
      <c r="J623" s="12"/>
    </row>
    <row r="624">
      <c r="I624" s="12"/>
      <c r="J624" s="12"/>
    </row>
    <row r="625">
      <c r="A625" s="11"/>
      <c r="B625" s="11"/>
      <c r="C625" s="11"/>
      <c r="I625" s="12"/>
      <c r="J625" s="12"/>
    </row>
    <row r="626">
      <c r="I626" s="12"/>
      <c r="J626" s="12"/>
    </row>
    <row r="787">
      <c r="I787" s="12"/>
      <c r="J787" s="12"/>
    </row>
    <row r="788">
      <c r="I788" s="12"/>
      <c r="J788" s="12"/>
    </row>
    <row r="789">
      <c r="I789" s="12"/>
      <c r="J789" s="12"/>
    </row>
    <row r="790">
      <c r="I790" s="12"/>
      <c r="J790" s="12"/>
    </row>
    <row r="791">
      <c r="I791" s="12"/>
      <c r="J791" s="12"/>
    </row>
    <row r="792">
      <c r="A792" s="11"/>
      <c r="B792" s="11"/>
      <c r="C792" s="11"/>
      <c r="I792" s="12"/>
      <c r="J792" s="12"/>
    </row>
    <row r="793">
      <c r="I793" s="12"/>
      <c r="J793" s="12"/>
    </row>
    <row r="794">
      <c r="A794" s="11"/>
      <c r="B794" s="11"/>
      <c r="C794" s="11"/>
      <c r="I794" s="12"/>
      <c r="J794" s="12"/>
    </row>
    <row r="795">
      <c r="I795" s="12"/>
      <c r="J795" s="12"/>
    </row>
    <row r="796">
      <c r="I796" s="12"/>
      <c r="J796" s="12"/>
    </row>
    <row r="797">
      <c r="I797" s="12"/>
      <c r="J797" s="12"/>
    </row>
    <row r="798">
      <c r="I798" s="12"/>
      <c r="J798" s="12"/>
    </row>
    <row r="799">
      <c r="I799" s="12"/>
      <c r="J799" s="12"/>
    </row>
    <row r="800">
      <c r="A800" s="11"/>
      <c r="B800" s="11"/>
      <c r="C800" s="11"/>
      <c r="I800" s="12"/>
      <c r="J800" s="12"/>
    </row>
    <row r="801">
      <c r="I801" s="12"/>
      <c r="J801" s="12"/>
    </row>
    <row r="802">
      <c r="A802" s="11"/>
      <c r="B802" s="11"/>
      <c r="C802" s="11"/>
      <c r="I802" s="12"/>
      <c r="J802" s="12"/>
    </row>
    <row r="963">
      <c r="I963" s="12"/>
      <c r="J963" s="12"/>
    </row>
    <row r="964">
      <c r="A964" s="11"/>
      <c r="B964" s="11"/>
      <c r="C964" s="11"/>
      <c r="I964" s="12"/>
      <c r="J964" s="12"/>
    </row>
    <row r="965">
      <c r="A965" s="11"/>
      <c r="B965" s="11"/>
      <c r="C965" s="11"/>
      <c r="I965" s="12"/>
      <c r="J965" s="12"/>
    </row>
    <row r="966">
      <c r="I966" s="12"/>
      <c r="J966" s="12"/>
    </row>
    <row r="967">
      <c r="A967" s="11"/>
      <c r="B967" s="11"/>
      <c r="C967" s="11"/>
      <c r="I967" s="12"/>
      <c r="J967" s="12"/>
    </row>
    <row r="968">
      <c r="I968" s="12"/>
      <c r="J968" s="12"/>
    </row>
    <row r="969">
      <c r="A969" s="11"/>
      <c r="B969" s="11"/>
      <c r="C969" s="11"/>
      <c r="I969" s="12"/>
      <c r="J969" s="12"/>
    </row>
    <row r="970">
      <c r="I970" s="12"/>
      <c r="J970" s="12"/>
    </row>
    <row r="971">
      <c r="I971" s="12"/>
      <c r="J971" s="12"/>
    </row>
    <row r="972">
      <c r="A972" s="11"/>
      <c r="B972" s="11"/>
      <c r="C972" s="11"/>
      <c r="I972" s="12"/>
      <c r="J972" s="12"/>
    </row>
    <row r="973">
      <c r="A973" s="11"/>
      <c r="B973" s="11"/>
      <c r="C973" s="11"/>
      <c r="I973" s="12"/>
      <c r="J973" s="12"/>
    </row>
    <row r="974">
      <c r="I974" s="12"/>
      <c r="J974" s="12"/>
    </row>
    <row r="975">
      <c r="A975" s="11"/>
      <c r="B975" s="11"/>
      <c r="C975" s="11"/>
      <c r="I975" s="12"/>
      <c r="J975" s="12"/>
    </row>
    <row r="976">
      <c r="I976" s="12"/>
      <c r="J976" s="12"/>
    </row>
    <row r="977">
      <c r="A977" s="11"/>
      <c r="B977" s="11"/>
      <c r="C977" s="11"/>
      <c r="I977" s="12"/>
      <c r="J977" s="12"/>
    </row>
    <row r="978">
      <c r="I978" s="12"/>
      <c r="J978" s="12"/>
    </row>
    <row r="1139">
      <c r="I1139" s="12"/>
      <c r="J1139" s="12"/>
    </row>
    <row r="1140">
      <c r="A1140" s="11"/>
      <c r="B1140" s="11"/>
      <c r="C1140" s="11"/>
      <c r="I1140" s="12"/>
      <c r="J1140" s="12"/>
    </row>
    <row r="1141">
      <c r="A1141" s="11"/>
      <c r="B1141" s="11"/>
      <c r="C1141" s="11"/>
      <c r="I1141" s="12"/>
      <c r="J1141" s="12"/>
    </row>
    <row r="1142">
      <c r="I1142" s="12"/>
      <c r="J1142" s="12"/>
    </row>
    <row r="1143">
      <c r="A1143" s="11"/>
      <c r="B1143" s="11"/>
      <c r="C1143" s="11"/>
      <c r="I1143" s="12"/>
      <c r="J1143" s="12"/>
    </row>
    <row r="1144">
      <c r="I1144" s="12"/>
      <c r="J1144" s="12"/>
    </row>
    <row r="1145">
      <c r="A1145" s="11"/>
      <c r="B1145" s="11"/>
      <c r="C1145" s="11"/>
      <c r="I1145" s="12"/>
      <c r="J1145" s="12"/>
    </row>
    <row r="1146">
      <c r="I1146" s="12"/>
      <c r="J1146" s="12"/>
    </row>
    <row r="1147">
      <c r="I1147" s="12"/>
      <c r="J1147" s="12"/>
    </row>
    <row r="1148">
      <c r="A1148" s="11"/>
      <c r="B1148" s="11"/>
      <c r="C1148" s="11"/>
      <c r="I1148" s="12"/>
      <c r="J1148" s="12"/>
    </row>
    <row r="1149">
      <c r="A1149" s="11"/>
      <c r="B1149" s="11"/>
      <c r="C1149" s="11"/>
      <c r="I1149" s="12"/>
      <c r="J1149" s="12"/>
    </row>
    <row r="1150">
      <c r="I1150" s="12"/>
      <c r="J1150" s="12"/>
    </row>
    <row r="1151">
      <c r="A1151" s="11"/>
      <c r="B1151" s="11"/>
      <c r="C1151" s="11"/>
      <c r="I1151" s="12"/>
      <c r="J1151" s="12"/>
    </row>
    <row r="1152">
      <c r="I1152" s="12"/>
      <c r="J1152" s="12"/>
    </row>
    <row r="1153">
      <c r="A1153" s="11"/>
      <c r="B1153" s="11"/>
      <c r="C1153" s="11"/>
      <c r="I1153" s="12"/>
      <c r="J1153" s="12"/>
    </row>
    <row r="1154">
      <c r="I1154" s="12"/>
      <c r="J1154" s="12"/>
    </row>
    <row r="1315">
      <c r="A1315" s="11"/>
      <c r="B1315" s="11"/>
      <c r="C1315" s="11"/>
      <c r="I1315" s="12"/>
      <c r="J1315" s="12"/>
    </row>
    <row r="1316">
      <c r="I1316" s="12"/>
      <c r="J1316" s="12"/>
    </row>
    <row r="1317">
      <c r="I1317" s="12"/>
      <c r="J1317" s="12"/>
    </row>
    <row r="1318">
      <c r="A1318" s="11"/>
      <c r="B1318" s="11"/>
      <c r="C1318" s="11"/>
      <c r="I1318" s="12"/>
      <c r="J1318" s="12"/>
    </row>
    <row r="1319">
      <c r="A1319" s="11"/>
      <c r="B1319" s="11"/>
      <c r="C1319" s="11"/>
      <c r="I1319" s="12"/>
      <c r="J1319" s="12"/>
    </row>
    <row r="1320">
      <c r="A1320" s="11"/>
      <c r="B1320" s="11"/>
      <c r="C1320" s="11"/>
      <c r="I1320" s="12"/>
      <c r="J1320" s="12"/>
    </row>
    <row r="1321">
      <c r="I1321" s="12"/>
      <c r="J1321" s="12"/>
    </row>
    <row r="1322">
      <c r="I1322" s="12"/>
      <c r="J1322" s="12"/>
    </row>
    <row r="1323">
      <c r="A1323" s="11"/>
      <c r="B1323" s="11"/>
      <c r="C1323" s="11"/>
      <c r="I1323" s="12"/>
      <c r="J1323" s="12"/>
    </row>
    <row r="1324">
      <c r="A1324" s="11"/>
      <c r="B1324" s="11"/>
      <c r="C1324" s="11"/>
      <c r="I1324" s="12"/>
      <c r="J1324" s="12"/>
    </row>
    <row r="1425">
      <c r="A1425" s="11"/>
      <c r="B1425" s="11"/>
      <c r="C1425" s="11"/>
      <c r="I1425" s="12"/>
      <c r="J1425" s="12"/>
    </row>
    <row r="1426">
      <c r="I1426" s="12"/>
      <c r="J1426" s="12"/>
    </row>
    <row r="1427">
      <c r="A1427" s="11"/>
      <c r="B1427" s="11"/>
      <c r="C1427" s="11"/>
      <c r="I1427" s="12"/>
      <c r="J1427" s="12"/>
    </row>
    <row r="1428">
      <c r="I1428" s="12"/>
      <c r="J1428" s="12"/>
    </row>
    <row r="1429">
      <c r="A1429" s="11"/>
      <c r="B1429" s="11"/>
      <c r="C1429" s="11"/>
      <c r="I1429" s="12"/>
      <c r="J1429" s="12"/>
    </row>
    <row r="1430">
      <c r="A1430" s="11"/>
      <c r="B1430" s="11"/>
      <c r="C1430" s="11"/>
      <c r="I1430" s="12"/>
      <c r="J1430" s="12"/>
    </row>
    <row r="1431">
      <c r="I1431" s="12"/>
      <c r="J1431" s="12"/>
    </row>
    <row r="1432">
      <c r="A1432" s="11"/>
      <c r="B1432" s="11"/>
      <c r="C1432" s="11"/>
      <c r="I1432" s="12"/>
      <c r="J1432" s="12"/>
    </row>
    <row r="1433">
      <c r="I1433" s="12"/>
      <c r="J1433" s="12"/>
    </row>
    <row r="1434">
      <c r="A1434" s="11"/>
      <c r="B1434" s="11"/>
      <c r="C1434" s="11"/>
      <c r="I1434" s="12"/>
      <c r="J1434" s="12"/>
    </row>
    <row r="1535">
      <c r="I1535" s="12"/>
      <c r="J1535" s="12"/>
    </row>
    <row r="1536">
      <c r="A1536" s="11"/>
      <c r="B1536" s="11"/>
      <c r="C1536" s="11"/>
      <c r="I1536" s="12"/>
      <c r="J1536" s="12"/>
    </row>
    <row r="1537">
      <c r="A1537" s="11"/>
      <c r="B1537" s="11"/>
      <c r="C1537" s="11"/>
      <c r="I1537" s="12"/>
      <c r="J1537" s="12"/>
    </row>
    <row r="1538">
      <c r="I1538" s="12"/>
      <c r="J1538" s="12"/>
    </row>
    <row r="1539">
      <c r="A1539" s="11"/>
      <c r="B1539" s="11"/>
      <c r="C1539" s="11"/>
      <c r="I1539" s="12"/>
      <c r="J1539" s="12"/>
    </row>
    <row r="1540">
      <c r="I1540" s="12"/>
      <c r="J1540" s="12"/>
    </row>
    <row r="1541">
      <c r="A1541" s="11"/>
      <c r="B1541" s="11"/>
      <c r="C1541" s="11"/>
      <c r="I1541" s="12"/>
      <c r="J1541" s="12"/>
    </row>
    <row r="1542">
      <c r="I1542" s="12"/>
      <c r="J1542" s="12"/>
    </row>
    <row r="1543">
      <c r="I1543" s="12"/>
      <c r="J1543" s="12"/>
    </row>
    <row r="1544">
      <c r="A1544" s="11"/>
      <c r="B1544" s="11"/>
      <c r="C1544" s="11"/>
      <c r="I1544" s="12"/>
      <c r="J1544" s="12"/>
    </row>
    <row r="1545">
      <c r="A1545" s="11"/>
      <c r="B1545" s="11"/>
      <c r="C1545" s="11"/>
      <c r="I1545" s="12"/>
      <c r="J1545" s="12"/>
    </row>
    <row r="1546">
      <c r="I1546" s="12"/>
      <c r="J1546" s="12"/>
    </row>
    <row r="1547">
      <c r="A1547" s="11"/>
      <c r="B1547" s="11"/>
      <c r="C1547" s="11"/>
      <c r="I1547" s="12"/>
      <c r="J1547" s="12"/>
    </row>
    <row r="1548">
      <c r="I1548" s="12"/>
      <c r="J1548" s="12"/>
    </row>
    <row r="1549">
      <c r="A1549" s="11"/>
      <c r="B1549" s="11"/>
      <c r="C1549" s="11"/>
      <c r="I1549" s="12"/>
      <c r="J1549" s="12"/>
    </row>
    <row r="1550">
      <c r="I1550" s="12"/>
      <c r="J1550" s="12"/>
    </row>
    <row r="1711">
      <c r="I1711" s="12"/>
      <c r="J1711" s="12"/>
    </row>
    <row r="1712">
      <c r="A1712" s="11"/>
      <c r="B1712" s="11"/>
      <c r="C1712" s="11"/>
      <c r="I1712" s="12"/>
      <c r="J1712" s="12"/>
    </row>
    <row r="1713">
      <c r="A1713" s="11"/>
      <c r="B1713" s="11"/>
      <c r="C1713" s="11"/>
      <c r="I1713" s="12"/>
      <c r="J1713" s="12"/>
    </row>
    <row r="1714">
      <c r="I1714" s="12"/>
      <c r="J1714" s="12"/>
    </row>
    <row r="1715">
      <c r="A1715" s="11"/>
      <c r="B1715" s="11"/>
      <c r="C1715" s="11"/>
      <c r="I1715" s="12"/>
      <c r="J1715" s="12"/>
    </row>
    <row r="1716">
      <c r="I1716" s="12"/>
      <c r="J1716" s="12"/>
    </row>
    <row r="1717">
      <c r="A1717" s="11"/>
      <c r="B1717" s="11"/>
      <c r="C1717" s="11"/>
      <c r="I1717" s="12"/>
      <c r="J1717" s="12"/>
    </row>
    <row r="1718">
      <c r="I1718" s="12"/>
      <c r="J1718" s="12"/>
    </row>
    <row r="1719">
      <c r="I1719" s="12"/>
      <c r="J1719" s="12"/>
    </row>
    <row r="1720">
      <c r="A1720" s="11"/>
      <c r="B1720" s="11"/>
      <c r="C1720" s="11"/>
      <c r="I1720" s="12"/>
      <c r="J1720" s="12"/>
    </row>
    <row r="1721">
      <c r="A1721" s="11"/>
      <c r="B1721" s="11"/>
      <c r="C1721" s="11"/>
      <c r="I1721" s="12"/>
      <c r="J1721" s="12"/>
    </row>
    <row r="1722">
      <c r="I1722" s="12"/>
      <c r="J1722" s="12"/>
    </row>
    <row r="1723">
      <c r="A1723" s="11"/>
      <c r="B1723" s="11"/>
      <c r="C1723" s="11"/>
      <c r="I1723" s="12"/>
      <c r="J1723" s="12"/>
    </row>
    <row r="1724">
      <c r="I1724" s="12"/>
      <c r="J1724" s="12"/>
    </row>
    <row r="1725">
      <c r="A1725" s="11"/>
      <c r="B1725" s="11"/>
      <c r="C1725" s="11"/>
      <c r="I1725" s="12"/>
      <c r="J1725" s="12"/>
    </row>
    <row r="1726">
      <c r="I1726" s="12"/>
      <c r="J1726" s="12"/>
    </row>
    <row r="1887">
      <c r="A1887" s="11"/>
      <c r="B1887" s="11"/>
      <c r="C1887" s="11"/>
      <c r="I1887" s="12"/>
      <c r="J1887" s="12"/>
    </row>
    <row r="1888">
      <c r="I1888" s="12"/>
      <c r="J1888" s="12"/>
    </row>
    <row r="1889">
      <c r="A1889" s="11"/>
      <c r="B1889" s="11"/>
      <c r="C1889" s="11"/>
      <c r="I1889" s="12"/>
      <c r="J1889" s="12"/>
    </row>
    <row r="1890">
      <c r="I1890" s="12"/>
      <c r="J1890" s="12"/>
    </row>
    <row r="1891">
      <c r="A1891" s="11"/>
      <c r="B1891" s="11"/>
      <c r="C1891" s="11"/>
      <c r="I1891" s="12"/>
      <c r="J1891" s="12"/>
    </row>
    <row r="1892">
      <c r="I1892" s="12"/>
      <c r="J1892" s="12"/>
    </row>
    <row r="1893">
      <c r="A1893" s="11"/>
      <c r="B1893" s="11"/>
      <c r="C1893" s="11"/>
      <c r="I1893" s="12"/>
      <c r="J1893" s="12"/>
    </row>
    <row r="1894">
      <c r="I1894" s="12"/>
      <c r="J1894" s="12"/>
    </row>
    <row r="1895">
      <c r="A1895" s="11"/>
      <c r="B1895" s="11"/>
      <c r="C1895" s="11"/>
      <c r="I1895" s="12"/>
      <c r="J1895" s="12"/>
    </row>
    <row r="1896">
      <c r="I1896" s="12"/>
      <c r="J1896" s="12"/>
    </row>
    <row r="1897">
      <c r="A1897" s="11"/>
      <c r="B1897" s="11"/>
      <c r="C1897" s="11"/>
      <c r="I1897" s="12"/>
      <c r="J1897" s="12"/>
    </row>
    <row r="1898">
      <c r="I1898" s="12"/>
      <c r="J1898" s="12"/>
    </row>
    <row r="1899">
      <c r="A1899" s="11"/>
      <c r="B1899" s="11"/>
      <c r="C1899" s="11"/>
      <c r="I1899" s="12"/>
      <c r="J1899" s="12"/>
    </row>
    <row r="1900">
      <c r="I1900" s="12"/>
      <c r="J1900" s="12"/>
    </row>
    <row r="1901">
      <c r="A1901" s="11"/>
      <c r="B1901" s="11"/>
      <c r="C1901" s="11"/>
      <c r="I1901" s="12"/>
      <c r="J1901" s="12"/>
    </row>
    <row r="1902">
      <c r="I1902" s="12"/>
      <c r="J1902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10" max="10" width="14.63"/>
  </cols>
  <sheetData>
    <row r="1">
      <c r="A1" s="1" t="s">
        <v>207</v>
      </c>
      <c r="B1" s="1" t="s">
        <v>1</v>
      </c>
      <c r="C1" s="1" t="s">
        <v>216</v>
      </c>
      <c r="D1" s="1" t="s">
        <v>264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</row>
    <row r="2">
      <c r="A2" s="5">
        <v>8.132450495E9</v>
      </c>
      <c r="B2" s="5" t="str">
        <f t="array" ref="B2">INDEX(Sheet2!B:B, MATCH(A2, Sheet2!A:A, 0))
</f>
        <v>Kocuria rhizophila 111540051-3</v>
      </c>
      <c r="C2" s="6" t="s">
        <v>24</v>
      </c>
      <c r="D2" s="6" t="s">
        <v>217</v>
      </c>
      <c r="E2" s="6" t="s">
        <v>27</v>
      </c>
      <c r="F2" s="5">
        <v>503866.0</v>
      </c>
      <c r="G2" s="5">
        <v>545071.0</v>
      </c>
      <c r="H2" s="7" t="s">
        <v>218</v>
      </c>
      <c r="I2" s="7" t="s">
        <v>219</v>
      </c>
      <c r="J2" s="8">
        <v>0.05</v>
      </c>
    </row>
    <row r="3">
      <c r="A3" s="5">
        <v>8.132450495E9</v>
      </c>
      <c r="B3" s="5" t="str">
        <f t="array" ref="B3">INDEX(Sheet2!B:B, MATCH(A3, Sheet2!A:A, 0))
</f>
        <v>Kocuria rhizophila 111540051-3</v>
      </c>
      <c r="C3" s="6" t="s">
        <v>31</v>
      </c>
      <c r="D3" s="6" t="s">
        <v>222</v>
      </c>
      <c r="E3" s="6" t="s">
        <v>32</v>
      </c>
      <c r="F3" s="5">
        <v>33178.0</v>
      </c>
      <c r="G3" s="5">
        <v>60033.0</v>
      </c>
      <c r="H3" s="7" t="s">
        <v>223</v>
      </c>
      <c r="I3" s="7" t="s">
        <v>224</v>
      </c>
      <c r="J3" s="8">
        <v>0.07</v>
      </c>
    </row>
    <row r="4">
      <c r="A4" s="5">
        <v>8.132450495E9</v>
      </c>
      <c r="B4" s="5" t="str">
        <f t="array" ref="B4">INDEX(Sheet2!B:B, MATCH(A4, Sheet2!A:A, 0))
</f>
        <v>Kocuria rhizophila 111540051-3</v>
      </c>
      <c r="C4" s="6" t="s">
        <v>35</v>
      </c>
      <c r="D4" s="6" t="s">
        <v>225</v>
      </c>
      <c r="E4" s="6" t="s">
        <v>36</v>
      </c>
      <c r="F4" s="5">
        <v>1121.0</v>
      </c>
      <c r="G4" s="5">
        <v>22020.0</v>
      </c>
      <c r="H4" s="7" t="s">
        <v>226</v>
      </c>
      <c r="I4" s="7" t="s">
        <v>227</v>
      </c>
      <c r="J4" s="8">
        <v>0.33</v>
      </c>
    </row>
    <row r="5">
      <c r="A5" s="5">
        <v>8.133623617E9</v>
      </c>
      <c r="B5" s="5" t="str">
        <f t="array" ref="B5">INDEX(Sheet2!B:B, MATCH(A5, Sheet2!A:A, 0))
</f>
        <v>Ralstonia insidiosa 151470044-1</v>
      </c>
      <c r="C5" s="6" t="s">
        <v>142</v>
      </c>
      <c r="D5" s="6" t="s">
        <v>222</v>
      </c>
      <c r="E5" s="6" t="s">
        <v>51</v>
      </c>
      <c r="F5" s="5">
        <v>567397.0</v>
      </c>
      <c r="G5" s="5">
        <v>615025.0</v>
      </c>
      <c r="H5" s="7" t="s">
        <v>232</v>
      </c>
      <c r="I5" s="7" t="s">
        <v>233</v>
      </c>
      <c r="J5" s="8">
        <v>0.05</v>
      </c>
    </row>
    <row r="6">
      <c r="A6" s="5">
        <v>8.133623617E9</v>
      </c>
      <c r="B6" s="5" t="str">
        <f t="array" ref="B6">INDEX(Sheet2!B:B, MATCH(A6, Sheet2!A:A, 0))
</f>
        <v>Ralstonia insidiosa 151470044-1</v>
      </c>
      <c r="C6" s="6" t="s">
        <v>138</v>
      </c>
      <c r="D6" s="6" t="s">
        <v>235</v>
      </c>
      <c r="E6" s="6" t="s">
        <v>63</v>
      </c>
      <c r="F6" s="5">
        <v>136524.0</v>
      </c>
      <c r="G6" s="5">
        <v>158643.0</v>
      </c>
      <c r="H6" s="7" t="s">
        <v>236</v>
      </c>
      <c r="I6" s="7" t="s">
        <v>237</v>
      </c>
      <c r="J6" s="8">
        <v>0.13</v>
      </c>
    </row>
    <row r="7">
      <c r="A7" s="5">
        <v>8.133623617E9</v>
      </c>
      <c r="B7" s="5" t="str">
        <f t="array" ref="B7">INDEX(Sheet2!B:B, MATCH(A7, Sheet2!A:A, 0))
</f>
        <v>Ralstonia insidiosa 151470044-1</v>
      </c>
      <c r="C7" s="6" t="s">
        <v>129</v>
      </c>
      <c r="D7" s="6" t="s">
        <v>239</v>
      </c>
      <c r="E7" s="6" t="s">
        <v>32</v>
      </c>
      <c r="F7" s="5">
        <v>71158.0</v>
      </c>
      <c r="G7" s="5">
        <v>96157.0</v>
      </c>
      <c r="H7" s="7" t="s">
        <v>240</v>
      </c>
      <c r="I7" s="7" t="s">
        <v>231</v>
      </c>
      <c r="J7" s="8">
        <v>0.13</v>
      </c>
    </row>
    <row r="8">
      <c r="A8" s="5">
        <v>8.132601599E9</v>
      </c>
      <c r="B8" s="5" t="str">
        <f t="array" ref="B8">INDEX(Sheet2!B:B, MATCH(A8, Sheet2!A:A, 0))
</f>
        <v>Ralstonia insidiosa 130770013-1</v>
      </c>
      <c r="C8" s="6" t="s">
        <v>80</v>
      </c>
      <c r="D8" s="6" t="s">
        <v>222</v>
      </c>
      <c r="E8" s="6" t="s">
        <v>51</v>
      </c>
      <c r="F8" s="5">
        <v>32507.0</v>
      </c>
      <c r="G8" s="5">
        <v>80135.0</v>
      </c>
      <c r="H8" s="6" t="s">
        <v>232</v>
      </c>
      <c r="I8" s="6" t="s">
        <v>233</v>
      </c>
      <c r="J8" s="8">
        <v>0.05</v>
      </c>
    </row>
    <row r="9">
      <c r="A9" s="5">
        <v>8.132601599E9</v>
      </c>
      <c r="B9" s="5" t="str">
        <f t="array" ref="B9">INDEX(Sheet2!B:B, MATCH(A9, Sheet2!A:A, 0))
</f>
        <v>Ralstonia insidiosa 130770013-1</v>
      </c>
      <c r="C9" s="6" t="s">
        <v>90</v>
      </c>
      <c r="D9" s="6" t="s">
        <v>235</v>
      </c>
      <c r="E9" s="6" t="s">
        <v>63</v>
      </c>
      <c r="F9" s="5">
        <v>136524.0</v>
      </c>
      <c r="G9" s="5">
        <v>158643.0</v>
      </c>
      <c r="H9" s="6" t="s">
        <v>236</v>
      </c>
      <c r="I9" s="6" t="s">
        <v>237</v>
      </c>
      <c r="J9" s="8">
        <v>0.13</v>
      </c>
    </row>
    <row r="10">
      <c r="A10" s="5">
        <v>8.132601599E9</v>
      </c>
      <c r="B10" s="5" t="str">
        <f t="array" ref="B10">INDEX(Sheet2!B:B, MATCH(A10, Sheet2!A:A, 0))
</f>
        <v>Ralstonia insidiosa 130770013-1</v>
      </c>
      <c r="C10" s="6" t="s">
        <v>82</v>
      </c>
      <c r="D10" s="6" t="s">
        <v>242</v>
      </c>
      <c r="E10" s="6" t="s">
        <v>32</v>
      </c>
      <c r="F10" s="5">
        <v>82971.0</v>
      </c>
      <c r="G10" s="5">
        <v>107970.0</v>
      </c>
      <c r="H10" s="6" t="s">
        <v>240</v>
      </c>
      <c r="I10" s="6" t="s">
        <v>231</v>
      </c>
      <c r="J10" s="8">
        <v>0.13</v>
      </c>
    </row>
    <row r="11">
      <c r="A11" s="5">
        <v>8.132503709E9</v>
      </c>
      <c r="B11" s="5" t="str">
        <f t="array" ref="B11">INDEX(Sheet2!B:B, MATCH(A11, Sheet2!A:A, 0))
</f>
        <v>Staphylococcus warneri 121210007-3</v>
      </c>
      <c r="C11" s="6" t="s">
        <v>42</v>
      </c>
      <c r="D11" s="6" t="s">
        <v>245</v>
      </c>
      <c r="E11" s="6" t="s">
        <v>43</v>
      </c>
      <c r="F11" s="5">
        <v>139864.0</v>
      </c>
      <c r="G11" s="5">
        <v>160599.0</v>
      </c>
      <c r="H11" s="6" t="s">
        <v>246</v>
      </c>
      <c r="I11" s="6" t="s">
        <v>231</v>
      </c>
      <c r="J11" s="8">
        <v>0.06</v>
      </c>
    </row>
    <row r="12">
      <c r="A12" s="5">
        <v>8.133476785E9</v>
      </c>
      <c r="B12" s="5" t="str">
        <f t="array" ref="B12">INDEX(Sheet2!B:B, MATCH(A12, Sheet2!A:A, 0))
</f>
        <v>Sphingomonas lutea F9_3S_D5_B_2</v>
      </c>
      <c r="C12" s="6" t="s">
        <v>127</v>
      </c>
      <c r="D12" s="6" t="s">
        <v>217</v>
      </c>
      <c r="E12" s="6" t="s">
        <v>27</v>
      </c>
      <c r="F12" s="5">
        <v>169063.0</v>
      </c>
      <c r="G12" s="5">
        <v>210109.0</v>
      </c>
      <c r="H12" s="6" t="s">
        <v>250</v>
      </c>
      <c r="I12" s="6" t="s">
        <v>251</v>
      </c>
      <c r="J12" s="8">
        <v>0.09</v>
      </c>
    </row>
    <row r="13">
      <c r="A13" s="5">
        <v>8.132824355E9</v>
      </c>
      <c r="B13" s="5" t="str">
        <f t="array" ref="B13">INDEX(Sheet2!B:B, MATCH(A13, Sheet2!A:A, 0))
</f>
        <v>Ralstonia insidiosa 142550021-1</v>
      </c>
      <c r="C13" s="6" t="s">
        <v>119</v>
      </c>
      <c r="D13" s="6" t="s">
        <v>222</v>
      </c>
      <c r="E13" s="6" t="s">
        <v>51</v>
      </c>
      <c r="F13" s="5">
        <v>32507.0</v>
      </c>
      <c r="G13" s="5">
        <v>80135.0</v>
      </c>
      <c r="H13" s="6" t="s">
        <v>232</v>
      </c>
      <c r="I13" s="6" t="s">
        <v>233</v>
      </c>
      <c r="J13" s="8">
        <v>0.05</v>
      </c>
    </row>
    <row r="14">
      <c r="A14" s="5">
        <v>8.132824355E9</v>
      </c>
      <c r="B14" s="5" t="str">
        <f t="array" ref="B14">INDEX(Sheet2!B:B, MATCH(A14, Sheet2!A:A, 0))
</f>
        <v>Ralstonia insidiosa 142550021-1</v>
      </c>
      <c r="C14" s="6" t="s">
        <v>121</v>
      </c>
      <c r="D14" s="6" t="s">
        <v>235</v>
      </c>
      <c r="E14" s="6" t="s">
        <v>63</v>
      </c>
      <c r="F14" s="5">
        <v>152062.0</v>
      </c>
      <c r="G14" s="5">
        <v>174181.0</v>
      </c>
      <c r="H14" s="6" t="s">
        <v>236</v>
      </c>
      <c r="I14" s="6" t="s">
        <v>237</v>
      </c>
      <c r="J14" s="8">
        <v>0.13</v>
      </c>
    </row>
    <row r="15">
      <c r="A15" s="5">
        <v>8.132824355E9</v>
      </c>
      <c r="B15" s="5" t="str">
        <f t="array" ref="B15">INDEX(Sheet2!B:B, MATCH(A15, Sheet2!A:A, 0))
</f>
        <v>Ralstonia insidiosa 142550021-1</v>
      </c>
      <c r="C15" s="6" t="s">
        <v>115</v>
      </c>
      <c r="D15" s="6" t="s">
        <v>239</v>
      </c>
      <c r="E15" s="6" t="s">
        <v>32</v>
      </c>
      <c r="F15" s="5">
        <v>82971.0</v>
      </c>
      <c r="G15" s="5">
        <v>107970.0</v>
      </c>
      <c r="H15" s="6" t="s">
        <v>240</v>
      </c>
      <c r="I15" s="6" t="s">
        <v>231</v>
      </c>
      <c r="J15" s="8">
        <v>0.13</v>
      </c>
    </row>
    <row r="16">
      <c r="A16" s="5">
        <v>8.132818425E9</v>
      </c>
      <c r="B16" s="5" t="str">
        <f t="array" ref="B16">INDEX(Sheet2!B:B, MATCH(A16, Sheet2!A:A, 0))
</f>
        <v>Ralstonia insidiosa 142550027-2</v>
      </c>
      <c r="C16" s="6" t="s">
        <v>104</v>
      </c>
      <c r="D16" s="6" t="s">
        <v>222</v>
      </c>
      <c r="E16" s="6" t="s">
        <v>51</v>
      </c>
      <c r="F16" s="5">
        <v>567218.0</v>
      </c>
      <c r="G16" s="5">
        <v>614846.0</v>
      </c>
      <c r="H16" s="6" t="s">
        <v>232</v>
      </c>
      <c r="I16" s="6" t="s">
        <v>233</v>
      </c>
      <c r="J16" s="8">
        <v>0.05</v>
      </c>
    </row>
    <row r="17">
      <c r="A17" s="5">
        <v>8.132818425E9</v>
      </c>
      <c r="B17" s="5" t="str">
        <f t="array" ref="B17">INDEX(Sheet2!B:B, MATCH(A17, Sheet2!A:A, 0))
</f>
        <v>Ralstonia insidiosa 142550027-2</v>
      </c>
      <c r="C17" s="6" t="s">
        <v>106</v>
      </c>
      <c r="D17" s="6" t="s">
        <v>235</v>
      </c>
      <c r="E17" s="6" t="s">
        <v>63</v>
      </c>
      <c r="F17" s="5">
        <v>152062.0</v>
      </c>
      <c r="G17" s="5">
        <v>174181.0</v>
      </c>
      <c r="H17" s="6" t="s">
        <v>236</v>
      </c>
      <c r="I17" s="6" t="s">
        <v>237</v>
      </c>
      <c r="J17" s="8">
        <v>0.13</v>
      </c>
    </row>
    <row r="18">
      <c r="A18" s="5">
        <v>8.132818425E9</v>
      </c>
      <c r="B18" s="5" t="str">
        <f t="array" ref="B18">INDEX(Sheet2!B:B, MATCH(A18, Sheet2!A:A, 0))
</f>
        <v>Ralstonia insidiosa 142550027-2</v>
      </c>
      <c r="C18" s="6" t="s">
        <v>95</v>
      </c>
      <c r="D18" s="6" t="s">
        <v>242</v>
      </c>
      <c r="E18" s="6" t="s">
        <v>32</v>
      </c>
      <c r="F18" s="5">
        <v>82971.0</v>
      </c>
      <c r="G18" s="5">
        <v>107970.0</v>
      </c>
      <c r="H18" s="6" t="s">
        <v>240</v>
      </c>
      <c r="I18" s="6" t="s">
        <v>231</v>
      </c>
      <c r="J18" s="8">
        <v>0.13</v>
      </c>
    </row>
    <row r="19">
      <c r="A19" s="5">
        <v>8.133643943E9</v>
      </c>
      <c r="B19" s="5" t="str">
        <f t="array" ref="B19">INDEX(Sheet2!B:B, MATCH(A19, Sheet2!A:A, 0))
</f>
        <v>Methylorubrum extorquens 153480035-1</v>
      </c>
      <c r="C19" s="6" t="s">
        <v>179</v>
      </c>
      <c r="D19" s="6" t="s">
        <v>259</v>
      </c>
      <c r="E19" s="6" t="s">
        <v>29</v>
      </c>
      <c r="F19" s="5">
        <v>147416.0</v>
      </c>
      <c r="G19" s="5">
        <v>180180.0</v>
      </c>
      <c r="H19" s="6" t="s">
        <v>260</v>
      </c>
      <c r="I19" s="6" t="s">
        <v>231</v>
      </c>
      <c r="J19" s="8">
        <v>0.25</v>
      </c>
    </row>
    <row r="20">
      <c r="A20" s="5">
        <v>8.13363548E9</v>
      </c>
      <c r="B20" s="5" t="str">
        <f t="array" ref="B20">INDEX(Sheet2!B:B, MATCH(A20, Sheet2!A:A, 0))
</f>
        <v>Ralstonia insidiosa 151470066-2</v>
      </c>
      <c r="C20" s="6" t="s">
        <v>172</v>
      </c>
      <c r="D20" s="6" t="s">
        <v>222</v>
      </c>
      <c r="E20" s="6" t="s">
        <v>51</v>
      </c>
      <c r="F20" s="5">
        <v>567397.0</v>
      </c>
      <c r="G20" s="5">
        <v>615025.0</v>
      </c>
      <c r="H20" s="6" t="s">
        <v>232</v>
      </c>
      <c r="I20" s="6" t="s">
        <v>233</v>
      </c>
      <c r="J20" s="8">
        <v>0.05</v>
      </c>
    </row>
    <row r="21">
      <c r="A21" s="5">
        <v>8.13363548E9</v>
      </c>
      <c r="B21" s="5" t="str">
        <f t="array" ref="B21">INDEX(Sheet2!B:B, MATCH(A21, Sheet2!A:A, 0))
</f>
        <v>Ralstonia insidiosa 151470066-2</v>
      </c>
      <c r="C21" s="6" t="s">
        <v>166</v>
      </c>
      <c r="D21" s="6" t="s">
        <v>235</v>
      </c>
      <c r="E21" s="6" t="s">
        <v>63</v>
      </c>
      <c r="F21" s="5">
        <v>136524.0</v>
      </c>
      <c r="G21" s="5">
        <v>158643.0</v>
      </c>
      <c r="H21" s="6" t="s">
        <v>236</v>
      </c>
      <c r="I21" s="6" t="s">
        <v>237</v>
      </c>
      <c r="J21" s="8">
        <v>0.13</v>
      </c>
    </row>
    <row r="22">
      <c r="A22" s="5">
        <v>8.13363548E9</v>
      </c>
      <c r="B22" s="5" t="str">
        <f t="array" ref="B22">INDEX(Sheet2!B:B, MATCH(A22, Sheet2!A:A, 0))
</f>
        <v>Ralstonia insidiosa 151470066-2</v>
      </c>
      <c r="C22" s="6" t="s">
        <v>170</v>
      </c>
      <c r="D22" s="6" t="s">
        <v>239</v>
      </c>
      <c r="E22" s="6" t="s">
        <v>32</v>
      </c>
      <c r="F22" s="5">
        <v>71158.0</v>
      </c>
      <c r="G22" s="5">
        <v>96157.0</v>
      </c>
      <c r="H22" s="6" t="s">
        <v>240</v>
      </c>
      <c r="I22" s="6" t="s">
        <v>231</v>
      </c>
      <c r="J22" s="8">
        <v>0.13</v>
      </c>
    </row>
    <row r="23">
      <c r="A23" s="5">
        <v>8.133629549E9</v>
      </c>
      <c r="B23" s="5" t="str">
        <f t="array" ref="B23">INDEX(Sheet2!B:B, MATCH(A23, Sheet2!A:A, 0))
</f>
        <v>Ralstonia insidiosa 151470066-1</v>
      </c>
      <c r="C23" s="6" t="s">
        <v>149</v>
      </c>
      <c r="D23" s="6" t="s">
        <v>222</v>
      </c>
      <c r="E23" s="6" t="s">
        <v>51</v>
      </c>
      <c r="F23" s="5">
        <v>567397.0</v>
      </c>
      <c r="G23" s="5">
        <v>615025.0</v>
      </c>
      <c r="H23" s="6" t="s">
        <v>232</v>
      </c>
      <c r="I23" s="6" t="s">
        <v>233</v>
      </c>
      <c r="J23" s="8">
        <v>0.05</v>
      </c>
    </row>
    <row r="24">
      <c r="A24" s="5">
        <v>8.133629549E9</v>
      </c>
      <c r="B24" s="5" t="str">
        <f t="array" ref="B24">INDEX(Sheet2!B:B, MATCH(A24, Sheet2!A:A, 0))
</f>
        <v>Ralstonia insidiosa 151470066-1</v>
      </c>
      <c r="C24" s="6" t="s">
        <v>153</v>
      </c>
      <c r="D24" s="6" t="s">
        <v>235</v>
      </c>
      <c r="E24" s="6" t="s">
        <v>63</v>
      </c>
      <c r="F24" s="5">
        <v>136524.0</v>
      </c>
      <c r="G24" s="5">
        <v>158643.0</v>
      </c>
      <c r="H24" s="6" t="s">
        <v>236</v>
      </c>
      <c r="I24" s="6" t="s">
        <v>237</v>
      </c>
      <c r="J24" s="8">
        <v>0.13</v>
      </c>
    </row>
    <row r="25">
      <c r="A25" s="5">
        <v>8.133629549E9</v>
      </c>
      <c r="B25" s="5" t="str">
        <f t="array" ref="B25">INDEX(Sheet2!B:B, MATCH(A25, Sheet2!A:A, 0))
</f>
        <v>Ralstonia insidiosa 151470066-1</v>
      </c>
      <c r="C25" s="6" t="s">
        <v>157</v>
      </c>
      <c r="D25" s="6" t="s">
        <v>239</v>
      </c>
      <c r="E25" s="6" t="s">
        <v>32</v>
      </c>
      <c r="F25" s="5">
        <v>71158.0</v>
      </c>
      <c r="G25" s="5">
        <v>96157.0</v>
      </c>
      <c r="H25" s="6" t="s">
        <v>240</v>
      </c>
      <c r="I25" s="6" t="s">
        <v>231</v>
      </c>
      <c r="J25" s="8">
        <v>0.13</v>
      </c>
    </row>
    <row r="26">
      <c r="A26" s="5">
        <v>8.132595571E9</v>
      </c>
      <c r="B26" s="5" t="str">
        <f t="array" ref="B26">INDEX(Sheet2!B:B, MATCH(A26, Sheet2!A:A, 0))
</f>
        <v>Ralstonia insidiosa 123250053-1</v>
      </c>
      <c r="C26" s="6" t="s">
        <v>74</v>
      </c>
      <c r="D26" s="6" t="s">
        <v>222</v>
      </c>
      <c r="E26" s="6" t="s">
        <v>51</v>
      </c>
      <c r="F26" s="5">
        <v>32507.0</v>
      </c>
      <c r="G26" s="5">
        <v>80135.0</v>
      </c>
      <c r="H26" s="6" t="s">
        <v>232</v>
      </c>
      <c r="I26" s="6" t="s">
        <v>233</v>
      </c>
      <c r="J26" s="8">
        <v>0.05</v>
      </c>
    </row>
    <row r="27">
      <c r="A27" s="5">
        <v>8.132595571E9</v>
      </c>
      <c r="B27" s="5" t="str">
        <f t="array" ref="B27">INDEX(Sheet2!B:B, MATCH(A27, Sheet2!A:A, 0))
</f>
        <v>Ralstonia insidiosa 123250053-1</v>
      </c>
      <c r="C27" s="6" t="s">
        <v>65</v>
      </c>
      <c r="D27" s="6" t="s">
        <v>235</v>
      </c>
      <c r="E27" s="6" t="s">
        <v>63</v>
      </c>
      <c r="F27" s="5">
        <v>152062.0</v>
      </c>
      <c r="G27" s="5">
        <v>174181.0</v>
      </c>
      <c r="H27" s="6" t="s">
        <v>236</v>
      </c>
      <c r="I27" s="6" t="s">
        <v>237</v>
      </c>
      <c r="J27" s="8">
        <v>0.13</v>
      </c>
    </row>
    <row r="28">
      <c r="A28" s="5">
        <v>8.132595571E9</v>
      </c>
      <c r="B28" s="5" t="str">
        <f t="array" ref="B28">INDEX(Sheet2!B:B, MATCH(A28, Sheet2!A:A, 0))
</f>
        <v>Ralstonia insidiosa 123250053-1</v>
      </c>
      <c r="C28" s="6" t="s">
        <v>69</v>
      </c>
      <c r="D28" s="6" t="s">
        <v>239</v>
      </c>
      <c r="E28" s="6" t="s">
        <v>32</v>
      </c>
      <c r="F28" s="5">
        <v>71158.0</v>
      </c>
      <c r="G28" s="5">
        <v>96157.0</v>
      </c>
      <c r="H28" s="6" t="s">
        <v>240</v>
      </c>
      <c r="I28" s="6" t="s">
        <v>231</v>
      </c>
      <c r="J28" s="8">
        <v>0.13</v>
      </c>
    </row>
    <row r="29">
      <c r="A29" s="5">
        <v>8.135715517E9</v>
      </c>
      <c r="B29" s="5" t="str">
        <f t="array" ref="B29">INDEX(Sheet2!B:B, MATCH(A29, Sheet2!A:A, 0))
</f>
        <v>Kocuria marina F10_7S_D2_EB4</v>
      </c>
      <c r="C29" s="6" t="s">
        <v>200</v>
      </c>
      <c r="D29" s="6" t="s">
        <v>217</v>
      </c>
      <c r="E29" s="6" t="s">
        <v>32</v>
      </c>
      <c r="F29" s="5">
        <v>46043.0</v>
      </c>
      <c r="G29" s="5">
        <v>72912.0</v>
      </c>
      <c r="H29" s="6" t="s">
        <v>223</v>
      </c>
      <c r="I29" s="6" t="s">
        <v>224</v>
      </c>
      <c r="J29" s="8">
        <v>0.07</v>
      </c>
    </row>
    <row r="30">
      <c r="A30" s="5">
        <v>8.135715517E9</v>
      </c>
      <c r="B30" s="5" t="str">
        <f t="array" ref="B30">INDEX(Sheet2!B:B, MATCH(A30, Sheet2!A:A, 0))
</f>
        <v>Kocuria marina F10_7S_D2_EB4</v>
      </c>
      <c r="C30" s="6" t="s">
        <v>200</v>
      </c>
      <c r="D30" s="6" t="s">
        <v>221</v>
      </c>
      <c r="E30" s="6" t="s">
        <v>29</v>
      </c>
      <c r="F30" s="5">
        <v>560161.0</v>
      </c>
      <c r="G30" s="5">
        <v>589987.0</v>
      </c>
      <c r="H30" s="6" t="s">
        <v>262</v>
      </c>
      <c r="I30" s="6" t="s">
        <v>231</v>
      </c>
      <c r="J30" s="8">
        <v>0.25</v>
      </c>
    </row>
    <row r="31">
      <c r="A31" s="5">
        <v>8.135715517E9</v>
      </c>
      <c r="B31" s="5" t="str">
        <f t="array" ref="B31">INDEX(Sheet2!B:B, MATCH(A31, Sheet2!A:A, 0))
</f>
        <v>Kocuria marina F10_7S_D2_EB4</v>
      </c>
      <c r="C31" s="6" t="s">
        <v>206</v>
      </c>
      <c r="D31" s="6" t="s">
        <v>235</v>
      </c>
      <c r="E31" s="6" t="s">
        <v>36</v>
      </c>
      <c r="F31" s="5">
        <v>136678.0</v>
      </c>
      <c r="G31" s="5">
        <v>157577.0</v>
      </c>
      <c r="H31" s="6" t="s">
        <v>226</v>
      </c>
      <c r="I31" s="6" t="s">
        <v>227</v>
      </c>
      <c r="J31" s="8">
        <v>0.37</v>
      </c>
    </row>
    <row r="32">
      <c r="A32" s="5">
        <v>8.132551458E9</v>
      </c>
      <c r="B32" s="5" t="str">
        <f t="array" ref="B32">INDEX(Sheet2!B:B, MATCH(A32, Sheet2!A:A, 0))
</f>
        <v>Ralstonia insidiosa 121560039-2</v>
      </c>
      <c r="C32" s="6" t="s">
        <v>50</v>
      </c>
      <c r="D32" s="6" t="s">
        <v>234</v>
      </c>
      <c r="E32" s="6" t="s">
        <v>51</v>
      </c>
      <c r="F32" s="5">
        <v>32507.0</v>
      </c>
      <c r="G32" s="5">
        <v>80135.0</v>
      </c>
      <c r="H32" s="6" t="s">
        <v>232</v>
      </c>
      <c r="I32" s="6" t="s">
        <v>233</v>
      </c>
      <c r="J32" s="8">
        <v>0.05</v>
      </c>
    </row>
    <row r="33">
      <c r="A33" s="5">
        <v>8.132551458E9</v>
      </c>
      <c r="B33" s="5" t="str">
        <f t="array" ref="B33">INDEX(Sheet2!B:B, MATCH(A33, Sheet2!A:A, 0))
</f>
        <v>Ralstonia insidiosa 121560039-2</v>
      </c>
      <c r="C33" s="6" t="s">
        <v>62</v>
      </c>
      <c r="D33" s="6" t="s">
        <v>235</v>
      </c>
      <c r="E33" s="6" t="s">
        <v>63</v>
      </c>
      <c r="F33" s="5">
        <v>136753.0</v>
      </c>
      <c r="G33" s="5">
        <v>158872.0</v>
      </c>
      <c r="H33" s="6" t="s">
        <v>236</v>
      </c>
      <c r="I33" s="6" t="s">
        <v>237</v>
      </c>
      <c r="J33" s="8">
        <v>0.13</v>
      </c>
    </row>
    <row r="34">
      <c r="A34" s="5">
        <v>8.132551458E9</v>
      </c>
      <c r="B34" s="5" t="str">
        <f t="array" ref="B34">INDEX(Sheet2!B:B, MATCH(A34, Sheet2!A:A, 0))
</f>
        <v>Ralstonia insidiosa 121560039-2</v>
      </c>
      <c r="C34" s="6" t="s">
        <v>60</v>
      </c>
      <c r="D34" s="6" t="s">
        <v>242</v>
      </c>
      <c r="E34" s="6" t="s">
        <v>32</v>
      </c>
      <c r="F34" s="5">
        <v>71157.0</v>
      </c>
      <c r="G34" s="5">
        <v>96156.0</v>
      </c>
      <c r="H34" s="6" t="s">
        <v>240</v>
      </c>
      <c r="I34" s="6" t="s">
        <v>231</v>
      </c>
      <c r="J34" s="8">
        <v>0.13</v>
      </c>
    </row>
    <row r="35">
      <c r="A35" s="5">
        <v>8.134898396E9</v>
      </c>
      <c r="B35" s="5" t="str">
        <f t="array" ref="B35">INDEX(Sheet2!B:B, MATCH(A35, Sheet2!A:A, 0))
</f>
        <v>Staphylococcus warneri 140720001-1</v>
      </c>
      <c r="C35" s="6" t="s">
        <v>195</v>
      </c>
      <c r="D35" s="6" t="s">
        <v>235</v>
      </c>
      <c r="E35" s="6" t="s">
        <v>43</v>
      </c>
      <c r="F35" s="5">
        <v>16637.0</v>
      </c>
      <c r="G35" s="5">
        <v>37372.0</v>
      </c>
      <c r="H35" s="6" t="s">
        <v>246</v>
      </c>
      <c r="I35" s="6" t="s">
        <v>231</v>
      </c>
      <c r="J35" s="8">
        <v>0.06</v>
      </c>
    </row>
    <row r="36">
      <c r="A36" s="5"/>
      <c r="B36" s="5"/>
      <c r="C36" s="6"/>
      <c r="D36" s="6"/>
      <c r="E36" s="6"/>
      <c r="F36" s="5"/>
      <c r="G36" s="5"/>
      <c r="H36" s="10"/>
      <c r="I36" s="10"/>
      <c r="J36" s="10"/>
    </row>
    <row r="37">
      <c r="A37" s="5"/>
      <c r="B37" s="5"/>
      <c r="C37" s="6"/>
      <c r="D37" s="6"/>
      <c r="E37" s="6"/>
      <c r="F37" s="5"/>
      <c r="G37" s="5"/>
      <c r="H37" s="6"/>
      <c r="I37" s="6"/>
      <c r="J37" s="8"/>
    </row>
    <row r="38">
      <c r="A38" s="5"/>
      <c r="B38" s="5"/>
      <c r="C38" s="6"/>
      <c r="D38" s="6"/>
      <c r="E38" s="6"/>
      <c r="F38" s="5"/>
      <c r="G38" s="5"/>
      <c r="H38" s="10"/>
      <c r="I38" s="10"/>
      <c r="J38" s="10"/>
    </row>
    <row r="39">
      <c r="A39" s="5"/>
      <c r="B39" s="5"/>
      <c r="C39" s="6"/>
      <c r="D39" s="6"/>
      <c r="E39" s="6"/>
      <c r="F39" s="5"/>
      <c r="G39" s="5"/>
      <c r="H39" s="6"/>
      <c r="I39" s="6"/>
      <c r="J39" s="8"/>
    </row>
    <row r="40">
      <c r="A40" s="5"/>
      <c r="B40" s="5"/>
      <c r="C40" s="6"/>
      <c r="D40" s="6"/>
      <c r="E40" s="6"/>
      <c r="F40" s="5"/>
      <c r="G40" s="5"/>
      <c r="H40" s="10"/>
      <c r="I40" s="10"/>
      <c r="J40" s="10"/>
    </row>
    <row r="41">
      <c r="A41" s="5"/>
      <c r="B41" s="5"/>
      <c r="C41" s="6"/>
      <c r="D41" s="6"/>
      <c r="E41" s="6"/>
      <c r="F41" s="5"/>
      <c r="G41" s="5"/>
      <c r="H41" s="6"/>
      <c r="I41" s="6"/>
      <c r="J41" s="8"/>
    </row>
    <row r="42">
      <c r="A42" s="5"/>
      <c r="B42" s="5"/>
      <c r="C42" s="6"/>
      <c r="D42" s="6"/>
      <c r="E42" s="6"/>
      <c r="F42" s="5"/>
      <c r="G42" s="5"/>
      <c r="H42" s="6"/>
      <c r="I42" s="6"/>
      <c r="J42" s="8"/>
    </row>
    <row r="43">
      <c r="A43" s="5"/>
      <c r="B43" s="5"/>
      <c r="C43" s="6"/>
      <c r="D43" s="6"/>
      <c r="E43" s="6"/>
      <c r="F43" s="5"/>
      <c r="G43" s="5"/>
      <c r="H43" s="10"/>
      <c r="I43" s="10"/>
      <c r="J43" s="10"/>
    </row>
    <row r="44">
      <c r="A44" s="5"/>
      <c r="B44" s="5"/>
      <c r="C44" s="6"/>
      <c r="D44" s="6"/>
      <c r="E44" s="6"/>
      <c r="F44" s="5"/>
      <c r="G44" s="5"/>
      <c r="H44" s="6"/>
      <c r="I44" s="6"/>
      <c r="J44" s="8"/>
    </row>
    <row r="45">
      <c r="A45" s="5"/>
      <c r="B45" s="5"/>
      <c r="C45" s="6"/>
      <c r="D45" s="6"/>
      <c r="E45" s="6"/>
      <c r="F45" s="5"/>
      <c r="G45" s="5"/>
      <c r="H45" s="10"/>
      <c r="I45" s="10"/>
      <c r="J45" s="10"/>
    </row>
    <row r="46">
      <c r="A46" s="5"/>
      <c r="B46" s="5"/>
      <c r="C46" s="6"/>
      <c r="D46" s="6"/>
      <c r="E46" s="6"/>
      <c r="F46" s="5"/>
      <c r="G46" s="5"/>
      <c r="H46" s="6"/>
      <c r="I46" s="6"/>
      <c r="J46" s="8"/>
    </row>
    <row r="47">
      <c r="A47" s="5"/>
      <c r="B47" s="5"/>
      <c r="C47" s="6"/>
      <c r="D47" s="6"/>
      <c r="E47" s="6"/>
      <c r="F47" s="5"/>
      <c r="G47" s="5"/>
      <c r="H47" s="10"/>
      <c r="I47" s="10"/>
      <c r="J47" s="10"/>
    </row>
    <row r="48">
      <c r="A48" s="5"/>
      <c r="B48" s="5"/>
      <c r="C48" s="6"/>
      <c r="D48" s="6"/>
      <c r="E48" s="6"/>
      <c r="F48" s="5"/>
      <c r="G48" s="5"/>
      <c r="H48" s="10"/>
      <c r="I48" s="10"/>
      <c r="J48" s="10"/>
    </row>
    <row r="49">
      <c r="A49" s="5"/>
      <c r="B49" s="5"/>
      <c r="C49" s="6"/>
      <c r="D49" s="6"/>
      <c r="E49" s="6"/>
      <c r="F49" s="5"/>
      <c r="G49" s="5"/>
      <c r="H49" s="10"/>
      <c r="I49" s="10"/>
      <c r="J49" s="10"/>
    </row>
    <row r="50">
      <c r="A50" s="5"/>
      <c r="B50" s="5"/>
      <c r="C50" s="6"/>
      <c r="D50" s="6"/>
      <c r="E50" s="6"/>
      <c r="F50" s="5"/>
      <c r="G50" s="5"/>
      <c r="H50" s="10"/>
      <c r="I50" s="10"/>
      <c r="J50" s="10"/>
    </row>
    <row r="51">
      <c r="A51" s="5"/>
      <c r="B51" s="5"/>
      <c r="C51" s="6"/>
      <c r="D51" s="6"/>
      <c r="E51" s="6"/>
      <c r="F51" s="5"/>
      <c r="G51" s="5"/>
      <c r="H51" s="10"/>
      <c r="I51" s="10"/>
      <c r="J51" s="10"/>
    </row>
    <row r="52">
      <c r="A52" s="5"/>
      <c r="B52" s="5"/>
      <c r="C52" s="6"/>
      <c r="D52" s="6"/>
      <c r="E52" s="6"/>
      <c r="F52" s="5"/>
      <c r="G52" s="5"/>
      <c r="H52" s="10"/>
      <c r="I52" s="10"/>
      <c r="J52" s="10"/>
    </row>
    <row r="53">
      <c r="A53" s="5"/>
      <c r="B53" s="5"/>
      <c r="C53" s="6"/>
      <c r="D53" s="6"/>
      <c r="E53" s="6"/>
      <c r="F53" s="5"/>
      <c r="G53" s="5"/>
      <c r="H53" s="6"/>
      <c r="I53" s="6"/>
      <c r="J53" s="8"/>
    </row>
    <row r="54">
      <c r="A54" s="5"/>
      <c r="B54" s="5"/>
      <c r="C54" s="6"/>
      <c r="D54" s="6"/>
      <c r="E54" s="6"/>
      <c r="F54" s="5"/>
      <c r="G54" s="5"/>
      <c r="H54" s="10"/>
      <c r="I54" s="10"/>
      <c r="J54" s="10"/>
    </row>
    <row r="55">
      <c r="A55" s="5"/>
      <c r="B55" s="5"/>
      <c r="C55" s="6"/>
      <c r="D55" s="6"/>
      <c r="E55" s="6"/>
      <c r="F55" s="5"/>
      <c r="G55" s="5"/>
      <c r="H55" s="6"/>
      <c r="I55" s="6"/>
      <c r="J55" s="8"/>
    </row>
    <row r="56">
      <c r="A56" s="5"/>
      <c r="B56" s="5"/>
      <c r="C56" s="6"/>
      <c r="D56" s="6"/>
      <c r="E56" s="6"/>
      <c r="F56" s="5"/>
      <c r="G56" s="5"/>
      <c r="H56" s="10"/>
      <c r="I56" s="10"/>
      <c r="J56" s="10"/>
    </row>
    <row r="57">
      <c r="A57" s="5"/>
      <c r="B57" s="5"/>
      <c r="C57" s="6"/>
      <c r="D57" s="6"/>
      <c r="E57" s="6"/>
      <c r="F57" s="5"/>
      <c r="G57" s="5"/>
      <c r="H57" s="6"/>
      <c r="I57" s="6"/>
      <c r="J57" s="8"/>
    </row>
    <row r="58">
      <c r="A58" s="5"/>
      <c r="B58" s="5"/>
      <c r="C58" s="6"/>
      <c r="D58" s="6"/>
      <c r="E58" s="6"/>
      <c r="F58" s="5"/>
      <c r="G58" s="5"/>
      <c r="H58" s="6"/>
      <c r="I58" s="6"/>
      <c r="J58" s="8"/>
    </row>
    <row r="59">
      <c r="A59" s="5"/>
      <c r="B59" s="5"/>
      <c r="C59" s="6"/>
      <c r="D59" s="6"/>
      <c r="E59" s="6"/>
      <c r="F59" s="5"/>
      <c r="G59" s="5"/>
      <c r="H59" s="10"/>
      <c r="I59" s="10"/>
      <c r="J59" s="10"/>
    </row>
    <row r="60">
      <c r="A60" s="5"/>
      <c r="B60" s="5"/>
      <c r="C60" s="6"/>
      <c r="D60" s="6"/>
      <c r="E60" s="6"/>
      <c r="F60" s="5"/>
      <c r="G60" s="5"/>
      <c r="H60" s="6"/>
      <c r="I60" s="6"/>
      <c r="J60" s="8"/>
    </row>
    <row r="61">
      <c r="A61" s="5"/>
      <c r="B61" s="5"/>
      <c r="C61" s="6"/>
      <c r="D61" s="6"/>
      <c r="E61" s="6"/>
      <c r="F61" s="5"/>
      <c r="G61" s="5"/>
      <c r="H61" s="10"/>
      <c r="I61" s="10"/>
      <c r="J61" s="10"/>
    </row>
    <row r="62">
      <c r="A62" s="5"/>
      <c r="B62" s="5"/>
      <c r="C62" s="6"/>
      <c r="D62" s="6"/>
      <c r="E62" s="6"/>
      <c r="F62" s="5"/>
      <c r="G62" s="5"/>
      <c r="H62" s="6"/>
      <c r="I62" s="6"/>
      <c r="J62" s="8"/>
    </row>
    <row r="63">
      <c r="A63" s="5"/>
      <c r="B63" s="5"/>
      <c r="C63" s="6"/>
      <c r="D63" s="6"/>
      <c r="E63" s="6"/>
      <c r="F63" s="5"/>
      <c r="G63" s="5"/>
      <c r="H63" s="10"/>
      <c r="I63" s="10"/>
      <c r="J63" s="10"/>
    </row>
    <row r="64">
      <c r="A64" s="5"/>
      <c r="B64" s="5"/>
      <c r="C64" s="6"/>
      <c r="D64" s="6"/>
      <c r="E64" s="6"/>
      <c r="F64" s="5"/>
      <c r="G64" s="5"/>
      <c r="H64" s="10"/>
      <c r="I64" s="10"/>
      <c r="J64" s="10"/>
    </row>
    <row r="65">
      <c r="A65" s="5"/>
      <c r="B65" s="5"/>
      <c r="C65" s="6"/>
      <c r="D65" s="6"/>
      <c r="E65" s="6"/>
      <c r="F65" s="5"/>
      <c r="G65" s="5"/>
      <c r="H65" s="6"/>
      <c r="I65" s="6"/>
      <c r="J65" s="8"/>
    </row>
    <row r="66">
      <c r="A66" s="5"/>
      <c r="B66" s="5"/>
      <c r="C66" s="6"/>
      <c r="D66" s="6"/>
      <c r="E66" s="6"/>
      <c r="F66" s="5"/>
      <c r="G66" s="5"/>
      <c r="H66" s="6"/>
      <c r="I66" s="6"/>
      <c r="J66" s="8"/>
    </row>
    <row r="67">
      <c r="A67" s="5"/>
      <c r="B67" s="5"/>
      <c r="C67" s="6"/>
      <c r="D67" s="6"/>
      <c r="E67" s="6"/>
      <c r="F67" s="5"/>
      <c r="G67" s="5"/>
      <c r="H67" s="10"/>
      <c r="I67" s="10"/>
      <c r="J67" s="10"/>
    </row>
    <row r="68">
      <c r="A68" s="5"/>
      <c r="B68" s="5"/>
      <c r="C68" s="6"/>
      <c r="D68" s="6"/>
      <c r="E68" s="6"/>
      <c r="F68" s="5"/>
      <c r="G68" s="5"/>
      <c r="H68" s="6"/>
      <c r="I68" s="6"/>
      <c r="J68" s="8"/>
    </row>
    <row r="69">
      <c r="A69" s="5"/>
      <c r="B69" s="5"/>
      <c r="C69" s="6"/>
      <c r="D69" s="6"/>
      <c r="E69" s="6"/>
      <c r="F69" s="5"/>
      <c r="G69" s="5"/>
      <c r="H69" s="10"/>
      <c r="I69" s="10"/>
      <c r="J69" s="10"/>
    </row>
    <row r="70">
      <c r="A70" s="5"/>
      <c r="B70" s="5"/>
      <c r="C70" s="6"/>
      <c r="D70" s="6"/>
      <c r="E70" s="6"/>
      <c r="F70" s="5"/>
      <c r="G70" s="5"/>
      <c r="H70" s="6"/>
      <c r="I70" s="6"/>
      <c r="J70" s="8"/>
    </row>
    <row r="71">
      <c r="A71" s="5"/>
      <c r="B71" s="5"/>
      <c r="C71" s="6"/>
      <c r="D71" s="6"/>
      <c r="E71" s="6"/>
      <c r="F71" s="5"/>
      <c r="G71" s="5"/>
      <c r="H71" s="10"/>
      <c r="I71" s="10"/>
      <c r="J71" s="10"/>
    </row>
    <row r="72">
      <c r="A72" s="5"/>
      <c r="B72" s="5"/>
      <c r="C72" s="6"/>
      <c r="D72" s="6"/>
      <c r="E72" s="6"/>
      <c r="F72" s="5"/>
      <c r="G72" s="5"/>
      <c r="H72" s="10"/>
      <c r="I72" s="10"/>
      <c r="J72" s="10"/>
    </row>
    <row r="73">
      <c r="A73" s="5"/>
      <c r="B73" s="5"/>
      <c r="C73" s="6"/>
      <c r="D73" s="6"/>
      <c r="E73" s="6"/>
      <c r="F73" s="5"/>
      <c r="G73" s="5"/>
      <c r="H73" s="6"/>
      <c r="I73" s="6"/>
      <c r="J73" s="8"/>
    </row>
    <row r="74">
      <c r="A74" s="5"/>
      <c r="B74" s="5"/>
      <c r="C74" s="6"/>
      <c r="D74" s="6"/>
      <c r="E74" s="6"/>
      <c r="F74" s="5"/>
      <c r="G74" s="5"/>
      <c r="H74" s="6"/>
      <c r="I74" s="6"/>
      <c r="J74" s="8"/>
    </row>
    <row r="75">
      <c r="A75" s="5"/>
      <c r="B75" s="5"/>
      <c r="C75" s="6"/>
      <c r="D75" s="6"/>
      <c r="E75" s="6"/>
      <c r="F75" s="5"/>
      <c r="G75" s="5"/>
      <c r="H75" s="10"/>
      <c r="I75" s="10"/>
      <c r="J75" s="10"/>
    </row>
    <row r="76">
      <c r="A76" s="5"/>
      <c r="B76" s="5"/>
      <c r="C76" s="6"/>
      <c r="D76" s="6"/>
      <c r="E76" s="6"/>
      <c r="F76" s="5"/>
      <c r="G76" s="5"/>
      <c r="H76" s="6"/>
      <c r="I76" s="6"/>
      <c r="J76" s="8"/>
    </row>
    <row r="77">
      <c r="A77" s="5"/>
      <c r="B77" s="5"/>
      <c r="C77" s="6"/>
      <c r="D77" s="6"/>
      <c r="E77" s="6"/>
      <c r="F77" s="5"/>
      <c r="G77" s="5"/>
      <c r="H77" s="10"/>
      <c r="I77" s="10"/>
      <c r="J77" s="10"/>
    </row>
    <row r="78">
      <c r="A78" s="5"/>
      <c r="B78" s="5"/>
      <c r="C78" s="6"/>
      <c r="D78" s="6"/>
      <c r="E78" s="6"/>
      <c r="F78" s="5"/>
      <c r="G78" s="5"/>
      <c r="H78" s="6"/>
      <c r="I78" s="6"/>
      <c r="J78" s="8"/>
    </row>
    <row r="79">
      <c r="A79" s="5"/>
      <c r="B79" s="5"/>
      <c r="C79" s="6"/>
      <c r="D79" s="6"/>
      <c r="E79" s="6"/>
      <c r="F79" s="5"/>
      <c r="G79" s="5"/>
      <c r="H79" s="10"/>
      <c r="I79" s="10"/>
      <c r="J79" s="10"/>
    </row>
    <row r="80">
      <c r="A80" s="5"/>
      <c r="B80" s="5"/>
      <c r="C80" s="6"/>
      <c r="D80" s="6"/>
      <c r="E80" s="6"/>
      <c r="F80" s="5"/>
      <c r="G80" s="5"/>
      <c r="H80" s="6"/>
      <c r="I80" s="6"/>
      <c r="J80" s="8"/>
    </row>
    <row r="81">
      <c r="A81" s="5"/>
      <c r="B81" s="5"/>
      <c r="C81" s="6"/>
      <c r="D81" s="6"/>
      <c r="E81" s="6"/>
      <c r="F81" s="5"/>
      <c r="G81" s="5"/>
      <c r="H81" s="10"/>
      <c r="I81" s="10"/>
      <c r="J81" s="10"/>
    </row>
    <row r="82">
      <c r="A82" s="5"/>
      <c r="B82" s="5"/>
      <c r="C82" s="6"/>
      <c r="D82" s="6"/>
      <c r="E82" s="6"/>
      <c r="F82" s="5"/>
      <c r="G82" s="5"/>
      <c r="H82" s="6"/>
      <c r="I82" s="6"/>
      <c r="J82" s="8"/>
    </row>
    <row r="83">
      <c r="A83" s="5"/>
      <c r="B83" s="5"/>
      <c r="C83" s="6"/>
      <c r="D83" s="6"/>
      <c r="E83" s="6"/>
      <c r="F83" s="5"/>
      <c r="G83" s="5"/>
      <c r="H83" s="10"/>
      <c r="I83" s="10"/>
      <c r="J83" s="10"/>
    </row>
    <row r="84">
      <c r="A84" s="5"/>
      <c r="B84" s="5"/>
      <c r="C84" s="6"/>
      <c r="D84" s="6"/>
      <c r="E84" s="6"/>
      <c r="F84" s="5"/>
      <c r="G84" s="5"/>
      <c r="H84" s="6"/>
      <c r="I84" s="6"/>
      <c r="J84" s="8"/>
    </row>
    <row r="85">
      <c r="A85" s="5"/>
      <c r="B85" s="5"/>
      <c r="C85" s="6"/>
      <c r="D85" s="6"/>
      <c r="E85" s="6"/>
      <c r="F85" s="5"/>
      <c r="G85" s="5"/>
      <c r="H85" s="10"/>
      <c r="I85" s="10"/>
      <c r="J85" s="10"/>
    </row>
    <row r="86">
      <c r="A86" s="5"/>
      <c r="B86" s="5"/>
      <c r="C86" s="6"/>
      <c r="D86" s="6"/>
      <c r="E86" s="6"/>
      <c r="F86" s="5"/>
      <c r="G86" s="5"/>
      <c r="H86" s="6"/>
      <c r="I86" s="6"/>
      <c r="J86" s="8"/>
    </row>
    <row r="87">
      <c r="A87" s="5"/>
      <c r="B87" s="5"/>
      <c r="C87" s="6"/>
      <c r="D87" s="6"/>
      <c r="E87" s="6"/>
      <c r="F87" s="5"/>
      <c r="G87" s="5"/>
      <c r="H87" s="10"/>
      <c r="I87" s="10"/>
      <c r="J87" s="10"/>
    </row>
    <row r="88">
      <c r="A88" s="5"/>
      <c r="B88" s="5"/>
      <c r="C88" s="6"/>
      <c r="D88" s="6"/>
      <c r="E88" s="6"/>
      <c r="F88" s="5"/>
      <c r="G88" s="5"/>
      <c r="H88" s="6"/>
      <c r="I88" s="6"/>
      <c r="J88" s="8"/>
    </row>
    <row r="89">
      <c r="A89" s="5"/>
      <c r="B89" s="5"/>
      <c r="C89" s="6"/>
      <c r="D89" s="6"/>
      <c r="E89" s="6"/>
      <c r="F89" s="5"/>
      <c r="G89" s="5"/>
      <c r="H89" s="6"/>
      <c r="I89" s="6"/>
      <c r="J89" s="8"/>
    </row>
    <row r="90">
      <c r="A90" s="5"/>
      <c r="B90" s="5"/>
      <c r="C90" s="6"/>
      <c r="D90" s="6"/>
      <c r="E90" s="6"/>
      <c r="F90" s="5"/>
      <c r="G90" s="5"/>
      <c r="H90" s="10"/>
      <c r="I90" s="10"/>
      <c r="J90" s="10"/>
    </row>
    <row r="91">
      <c r="A91" s="5"/>
      <c r="B91" s="5"/>
      <c r="C91" s="6"/>
      <c r="D91" s="6"/>
      <c r="E91" s="6"/>
      <c r="F91" s="5"/>
      <c r="G91" s="5"/>
      <c r="H91" s="6"/>
      <c r="I91" s="6"/>
      <c r="J91" s="8"/>
    </row>
    <row r="92">
      <c r="A92" s="5"/>
      <c r="B92" s="5"/>
      <c r="C92" s="6"/>
      <c r="D92" s="6"/>
      <c r="E92" s="6"/>
      <c r="F92" s="5"/>
      <c r="G92" s="5"/>
      <c r="H92" s="10"/>
      <c r="I92" s="10"/>
      <c r="J92" s="10"/>
    </row>
    <row r="93">
      <c r="A93" s="5"/>
      <c r="B93" s="5"/>
      <c r="C93" s="6"/>
      <c r="D93" s="6"/>
      <c r="E93" s="6"/>
      <c r="F93" s="5"/>
      <c r="G93" s="5"/>
      <c r="H93" s="6"/>
      <c r="I93" s="6"/>
      <c r="J93" s="8"/>
    </row>
    <row r="94">
      <c r="A94" s="5"/>
      <c r="B94" s="5"/>
      <c r="C94" s="6"/>
      <c r="D94" s="6"/>
      <c r="E94" s="6"/>
      <c r="F94" s="5"/>
      <c r="G94" s="5"/>
      <c r="H94" s="10"/>
      <c r="I94" s="10"/>
      <c r="J94" s="10"/>
    </row>
    <row r="95">
      <c r="A95" s="5"/>
      <c r="B95" s="5"/>
      <c r="C95" s="6"/>
      <c r="D95" s="6"/>
      <c r="E95" s="6"/>
      <c r="F95" s="5"/>
      <c r="G95" s="5"/>
      <c r="H95" s="6"/>
      <c r="I95" s="6"/>
      <c r="J9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5.13"/>
  </cols>
  <sheetData>
    <row r="1">
      <c r="A1" s="1" t="s">
        <v>207</v>
      </c>
      <c r="B1" s="1" t="s">
        <v>1</v>
      </c>
      <c r="C1" s="1" t="s">
        <v>216</v>
      </c>
      <c r="D1" s="1" t="s">
        <v>264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</row>
    <row r="2">
      <c r="A2" s="5">
        <v>8.133623617E9</v>
      </c>
      <c r="B2" s="5" t="str">
        <f t="array" ref="B2">INDEX(Sheet2!B:B, MATCH(A2, Sheet2!A:A, 0))
</f>
        <v>Ralstonia insidiosa 151470044-1</v>
      </c>
      <c r="C2" s="6" t="s">
        <v>131</v>
      </c>
      <c r="D2" s="6" t="s">
        <v>229</v>
      </c>
      <c r="E2" s="6" t="s">
        <v>29</v>
      </c>
      <c r="F2" s="5">
        <v>460286.0</v>
      </c>
      <c r="G2" s="5">
        <v>490172.0</v>
      </c>
      <c r="H2" s="7" t="s">
        <v>230</v>
      </c>
      <c r="I2" s="7" t="s">
        <v>231</v>
      </c>
      <c r="J2" s="8">
        <v>0.62</v>
      </c>
    </row>
    <row r="3">
      <c r="A3" s="5">
        <v>8.132601599E9</v>
      </c>
      <c r="B3" s="5" t="str">
        <f t="array" ref="B3">INDEX(Sheet2!B:B, MATCH(A3, Sheet2!A:A, 0))
</f>
        <v>Ralstonia insidiosa 130770013-1</v>
      </c>
      <c r="C3" s="6" t="s">
        <v>86</v>
      </c>
      <c r="D3" s="6" t="s">
        <v>217</v>
      </c>
      <c r="E3" s="6" t="s">
        <v>29</v>
      </c>
      <c r="F3" s="5">
        <v>462140.0</v>
      </c>
      <c r="G3" s="5">
        <v>492026.0</v>
      </c>
      <c r="H3" s="7" t="s">
        <v>230</v>
      </c>
      <c r="I3" s="7" t="s">
        <v>231</v>
      </c>
      <c r="J3" s="8">
        <v>0.62</v>
      </c>
    </row>
    <row r="4">
      <c r="A4" s="5">
        <v>8.132824355E9</v>
      </c>
      <c r="B4" s="5" t="str">
        <f t="array" ref="B4">INDEX(Sheet2!B:B, MATCH(A4, Sheet2!A:A, 0))
</f>
        <v>Ralstonia insidiosa 142550021-1</v>
      </c>
      <c r="C4" s="6" t="s">
        <v>112</v>
      </c>
      <c r="D4" s="6" t="s">
        <v>229</v>
      </c>
      <c r="E4" s="6" t="s">
        <v>29</v>
      </c>
      <c r="F4" s="5">
        <v>460286.0</v>
      </c>
      <c r="G4" s="5">
        <v>490172.0</v>
      </c>
      <c r="H4" s="6" t="s">
        <v>230</v>
      </c>
      <c r="I4" s="6" t="s">
        <v>231</v>
      </c>
      <c r="J4" s="8">
        <v>0.62</v>
      </c>
    </row>
    <row r="5">
      <c r="A5" s="5">
        <v>8.132818425E9</v>
      </c>
      <c r="B5" s="5" t="str">
        <f t="array" ref="B5">INDEX(Sheet2!B:B, MATCH(A5, Sheet2!A:A, 0))
</f>
        <v>Ralstonia insidiosa 142550027-2</v>
      </c>
      <c r="C5" s="6" t="s">
        <v>97</v>
      </c>
      <c r="D5" s="6" t="s">
        <v>220</v>
      </c>
      <c r="E5" s="6" t="s">
        <v>29</v>
      </c>
      <c r="F5" s="5">
        <v>460286.0</v>
      </c>
      <c r="G5" s="5">
        <v>490172.0</v>
      </c>
      <c r="H5" s="6" t="s">
        <v>230</v>
      </c>
      <c r="I5" s="6" t="s">
        <v>231</v>
      </c>
      <c r="J5" s="8">
        <v>0.62</v>
      </c>
    </row>
    <row r="6">
      <c r="A6" s="5">
        <v>8.13363548E9</v>
      </c>
      <c r="B6" s="5" t="str">
        <f t="array" ref="B6">INDEX(Sheet2!B:B, MATCH(A6, Sheet2!A:A, 0))
</f>
        <v>Ralstonia insidiosa 151470066-2</v>
      </c>
      <c r="C6" s="6" t="s">
        <v>163</v>
      </c>
      <c r="D6" s="6" t="s">
        <v>229</v>
      </c>
      <c r="E6" s="6" t="s">
        <v>29</v>
      </c>
      <c r="F6" s="5">
        <v>460286.0</v>
      </c>
      <c r="G6" s="5">
        <v>490172.0</v>
      </c>
      <c r="H6" s="6" t="s">
        <v>230</v>
      </c>
      <c r="I6" s="6" t="s">
        <v>231</v>
      </c>
      <c r="J6" s="8">
        <v>0.62</v>
      </c>
    </row>
    <row r="7">
      <c r="A7" s="5">
        <v>8.133629549E9</v>
      </c>
      <c r="B7" s="5" t="str">
        <f t="array" ref="B7">INDEX(Sheet2!B:B, MATCH(A7, Sheet2!A:A, 0))
</f>
        <v>Ralstonia insidiosa 151470066-1</v>
      </c>
      <c r="C7" s="6" t="s">
        <v>146</v>
      </c>
      <c r="D7" s="6" t="s">
        <v>229</v>
      </c>
      <c r="E7" s="6" t="s">
        <v>29</v>
      </c>
      <c r="F7" s="5">
        <v>460286.0</v>
      </c>
      <c r="G7" s="5">
        <v>490172.0</v>
      </c>
      <c r="H7" s="6" t="s">
        <v>230</v>
      </c>
      <c r="I7" s="6" t="s">
        <v>231</v>
      </c>
      <c r="J7" s="8">
        <v>0.62</v>
      </c>
    </row>
    <row r="8">
      <c r="A8" s="5">
        <v>8.132595571E9</v>
      </c>
      <c r="B8" s="5" t="str">
        <f t="array" ref="B8">INDEX(Sheet2!B:B, MATCH(A8, Sheet2!A:A, 0))
</f>
        <v>Ralstonia insidiosa 123250053-1</v>
      </c>
      <c r="C8" s="6" t="s">
        <v>67</v>
      </c>
      <c r="D8" s="6" t="s">
        <v>229</v>
      </c>
      <c r="E8" s="6" t="s">
        <v>29</v>
      </c>
      <c r="F8" s="5">
        <v>460286.0</v>
      </c>
      <c r="G8" s="5">
        <v>490172.0</v>
      </c>
      <c r="H8" s="6" t="s">
        <v>230</v>
      </c>
      <c r="I8" s="6" t="s">
        <v>231</v>
      </c>
      <c r="J8" s="8">
        <v>0.62</v>
      </c>
    </row>
    <row r="9">
      <c r="A9" s="5">
        <v>8.132551458E9</v>
      </c>
      <c r="B9" s="5" t="str">
        <f t="array" ref="B9">INDEX(Sheet2!B:B, MATCH(A9, Sheet2!A:A, 0))
</f>
        <v>Ralstonia insidiosa 121560039-2</v>
      </c>
      <c r="C9" s="6" t="s">
        <v>45</v>
      </c>
      <c r="D9" s="6" t="s">
        <v>220</v>
      </c>
      <c r="E9" s="6" t="s">
        <v>29</v>
      </c>
      <c r="F9" s="5">
        <v>460285.0</v>
      </c>
      <c r="G9" s="5">
        <v>490171.0</v>
      </c>
      <c r="H9" s="6" t="s">
        <v>230</v>
      </c>
      <c r="I9" s="6" t="s">
        <v>231</v>
      </c>
      <c r="J9" s="8">
        <v>0.62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10" max="10" width="14.63"/>
  </cols>
  <sheetData>
    <row r="1">
      <c r="A1" s="13" t="s">
        <v>207</v>
      </c>
      <c r="B1" s="13" t="s">
        <v>1</v>
      </c>
      <c r="C1" s="13" t="s">
        <v>216</v>
      </c>
      <c r="D1" s="13" t="s">
        <v>264</v>
      </c>
      <c r="E1" s="13" t="s">
        <v>210</v>
      </c>
      <c r="F1" s="13" t="s">
        <v>211</v>
      </c>
      <c r="G1" s="13" t="s">
        <v>212</v>
      </c>
      <c r="H1" s="13" t="s">
        <v>213</v>
      </c>
      <c r="I1" s="13" t="s">
        <v>214</v>
      </c>
      <c r="J1" s="13" t="s">
        <v>215</v>
      </c>
      <c r="K1" s="14"/>
      <c r="L1" s="14"/>
    </row>
    <row r="2">
      <c r="A2" s="15">
        <v>8.133992572E9</v>
      </c>
      <c r="B2" s="15" t="str">
        <f t="array" ref="B2">INDEX(Sheet2!B:B, MATCH(A2, Sheet2!A:A, 0))
</f>
        <v>Staphylococcus hominis 153480033-6</v>
      </c>
      <c r="C2" s="14" t="s">
        <v>191</v>
      </c>
      <c r="D2" s="14" t="s">
        <v>234</v>
      </c>
      <c r="E2" s="14" t="s">
        <v>29</v>
      </c>
      <c r="F2" s="15">
        <v>52244.0</v>
      </c>
      <c r="G2" s="15">
        <v>82893.0</v>
      </c>
      <c r="H2" s="14" t="s">
        <v>248</v>
      </c>
      <c r="I2" s="14" t="s">
        <v>249</v>
      </c>
      <c r="J2" s="16">
        <v>0.75</v>
      </c>
      <c r="K2" s="14"/>
      <c r="L2" s="14"/>
    </row>
    <row r="3">
      <c r="A3" s="15">
        <v>8.132433368E9</v>
      </c>
      <c r="B3" s="15" t="str">
        <f t="array" ref="B3">INDEX(Sheet2!B:B, MATCH(A3, Sheet2!A:A, 0))
</f>
        <v>Rothia mucilaginosa 110740021-2</v>
      </c>
      <c r="C3" s="14" t="s">
        <v>19</v>
      </c>
      <c r="D3" s="14" t="s">
        <v>217</v>
      </c>
      <c r="E3" s="14" t="s">
        <v>21</v>
      </c>
      <c r="F3" s="15">
        <v>800807.0</v>
      </c>
      <c r="G3" s="15">
        <v>845174.0</v>
      </c>
      <c r="H3" s="14" t="s">
        <v>253</v>
      </c>
      <c r="I3" s="14" t="s">
        <v>254</v>
      </c>
      <c r="J3" s="16">
        <v>0.88</v>
      </c>
      <c r="K3" s="14"/>
      <c r="L3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13"/>
    <col customWidth="1" min="10" max="10" width="14.63"/>
  </cols>
  <sheetData>
    <row r="1">
      <c r="A1" s="13" t="s">
        <v>207</v>
      </c>
      <c r="B1" s="13" t="s">
        <v>1</v>
      </c>
      <c r="C1" s="13" t="s">
        <v>216</v>
      </c>
      <c r="D1" s="13" t="s">
        <v>264</v>
      </c>
      <c r="E1" s="13" t="s">
        <v>210</v>
      </c>
      <c r="F1" s="13" t="s">
        <v>211</v>
      </c>
      <c r="G1" s="13" t="s">
        <v>212</v>
      </c>
      <c r="H1" s="13" t="s">
        <v>213</v>
      </c>
      <c r="I1" s="13" t="s">
        <v>214</v>
      </c>
      <c r="J1" s="13" t="s">
        <v>215</v>
      </c>
    </row>
    <row r="2">
      <c r="A2" s="15">
        <v>8.132503709E9</v>
      </c>
      <c r="B2" s="15" t="str">
        <f t="array" ref="B2">INDEX(Sheet2!B:B, MATCH(A2, Sheet2!A:A, 0))
</f>
        <v>Staphylococcus warneri 121210007-3</v>
      </c>
      <c r="C2" s="14" t="s">
        <v>38</v>
      </c>
      <c r="D2" s="14" t="s">
        <v>247</v>
      </c>
      <c r="E2" s="14" t="s">
        <v>29</v>
      </c>
      <c r="F2" s="15">
        <v>23592.0</v>
      </c>
      <c r="G2" s="15">
        <v>56579.0</v>
      </c>
      <c r="H2" s="14" t="s">
        <v>248</v>
      </c>
      <c r="I2" s="14" t="s">
        <v>249</v>
      </c>
      <c r="J2" s="16">
        <v>1.0</v>
      </c>
    </row>
    <row r="3">
      <c r="A3" s="15">
        <v>8.133643943E9</v>
      </c>
      <c r="B3" s="15" t="str">
        <f t="array" ref="B3">INDEX(Sheet2!B:B, MATCH(A3, Sheet2!A:A, 0))
</f>
        <v>Methylorubrum extorquens 153480035-1</v>
      </c>
      <c r="C3" s="14" t="s">
        <v>177</v>
      </c>
      <c r="D3" s="14" t="s">
        <v>261</v>
      </c>
      <c r="E3" s="14" t="s">
        <v>36</v>
      </c>
      <c r="F3" s="15">
        <v>120026.0</v>
      </c>
      <c r="G3" s="15">
        <v>141087.0</v>
      </c>
      <c r="H3" s="14" t="s">
        <v>226</v>
      </c>
      <c r="I3" s="14" t="s">
        <v>227</v>
      </c>
      <c r="J3" s="16">
        <v>1.0</v>
      </c>
    </row>
    <row r="4">
      <c r="A4" s="15">
        <v>8.134898396E9</v>
      </c>
      <c r="B4" s="15" t="str">
        <f t="array" ref="B4">INDEX(Sheet2!B:B, MATCH(A4, Sheet2!A:A, 0))
</f>
        <v>Staphylococcus warneri 140720001-1</v>
      </c>
      <c r="C4" s="14" t="s">
        <v>197</v>
      </c>
      <c r="D4" s="14" t="s">
        <v>228</v>
      </c>
      <c r="E4" s="14" t="s">
        <v>29</v>
      </c>
      <c r="F4" s="15">
        <v>810.0</v>
      </c>
      <c r="G4" s="15">
        <v>33797.0</v>
      </c>
      <c r="H4" s="14" t="s">
        <v>248</v>
      </c>
      <c r="I4" s="14" t="s">
        <v>249</v>
      </c>
      <c r="J4" s="16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1.13"/>
  </cols>
  <sheetData>
    <row r="1">
      <c r="A1" s="2" t="s">
        <v>207</v>
      </c>
      <c r="B1" s="2" t="s">
        <v>265</v>
      </c>
    </row>
    <row r="2">
      <c r="A2" s="17">
        <v>8.133476785E9</v>
      </c>
      <c r="B2" s="18" t="s">
        <v>266</v>
      </c>
    </row>
    <row r="3">
      <c r="A3" s="17">
        <v>8.133643943E9</v>
      </c>
      <c r="B3" s="18" t="s">
        <v>267</v>
      </c>
    </row>
    <row r="4">
      <c r="A4" s="17">
        <v>8.132450495E9</v>
      </c>
      <c r="B4" s="18" t="s">
        <v>268</v>
      </c>
    </row>
    <row r="5">
      <c r="A5" s="17">
        <v>8.133992572E9</v>
      </c>
      <c r="B5" s="18" t="s">
        <v>269</v>
      </c>
    </row>
    <row r="6">
      <c r="A6" s="17">
        <v>8.133341747E9</v>
      </c>
      <c r="B6" s="18" t="s">
        <v>270</v>
      </c>
    </row>
    <row r="7">
      <c r="A7" s="17">
        <v>8.132433368E9</v>
      </c>
      <c r="B7" s="18" t="s">
        <v>271</v>
      </c>
    </row>
    <row r="8">
      <c r="A8" s="17">
        <v>8.132551458E9</v>
      </c>
      <c r="B8" s="18" t="s">
        <v>272</v>
      </c>
    </row>
    <row r="9">
      <c r="A9" s="17">
        <v>8.133629549E9</v>
      </c>
      <c r="B9" s="18" t="s">
        <v>273</v>
      </c>
    </row>
    <row r="10">
      <c r="A10" s="17">
        <v>8.132824355E9</v>
      </c>
      <c r="B10" s="18" t="s">
        <v>274</v>
      </c>
    </row>
    <row r="11">
      <c r="A11" s="17">
        <v>8.133623617E9</v>
      </c>
      <c r="B11" s="18" t="s">
        <v>275</v>
      </c>
    </row>
    <row r="12">
      <c r="A12" s="17">
        <v>8.132818425E9</v>
      </c>
      <c r="B12" s="18" t="s">
        <v>276</v>
      </c>
    </row>
    <row r="13">
      <c r="A13" s="17">
        <v>8.132601599E9</v>
      </c>
      <c r="B13" s="18" t="s">
        <v>277</v>
      </c>
    </row>
    <row r="14">
      <c r="A14" s="17">
        <v>8.13363548E9</v>
      </c>
      <c r="B14" s="18" t="s">
        <v>278</v>
      </c>
    </row>
    <row r="15">
      <c r="A15" s="17">
        <v>8.132503709E9</v>
      </c>
      <c r="B15" s="18" t="s">
        <v>279</v>
      </c>
    </row>
    <row r="16">
      <c r="A16" s="17">
        <v>8.134898396E9</v>
      </c>
      <c r="B16" s="18" t="s">
        <v>280</v>
      </c>
    </row>
    <row r="17">
      <c r="A17" s="17">
        <v>8.132595571E9</v>
      </c>
      <c r="B17" s="18" t="s">
        <v>281</v>
      </c>
    </row>
    <row r="18">
      <c r="A18" s="17">
        <v>8.135715517E9</v>
      </c>
      <c r="B18" s="18" t="s">
        <v>282</v>
      </c>
    </row>
  </sheetData>
  <drawing r:id="rId1"/>
</worksheet>
</file>